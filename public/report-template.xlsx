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12746D50-645E-462D-8E23-A3B13C97B0D5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rev00" sheetId="1" state="hidden" r:id="rId1"/>
    <sheet name="01.06.2026 " sheetId="114" r:id="rId2"/>
    <sheet name="02.06.2026 " sheetId="115" r:id="rId3"/>
  </sheets>
  <definedNames>
    <definedName name="_xlnm._FilterDatabase" localSheetId="1" hidden="1">'01.06.2026 '!$A$11:$O$30</definedName>
    <definedName name="_xlnm._FilterDatabase" localSheetId="2" hidden="1">'02.06.2026 '!$A$11:$O$30</definedName>
    <definedName name="_xlnm._FilterDatabase" localSheetId="0" hidden="1">rev00!$A$24:$H$118</definedName>
    <definedName name="MFiles_PG09C00E43AE09494E886C40EB5929CCE7">"TPR.PMM.FRM.0221"</definedName>
    <definedName name="MFiles_PG16D095758EE5432CA92ED83E32419223">2</definedName>
    <definedName name="MFiles_PGEAB2B9D9809E49A59FA64EA5C2802F8C">"7.03.2022"</definedName>
    <definedName name="MFiles_PGEBE14D95F1DE429090ED6A5DE36476DF">"6.01.2022"</definedName>
    <definedName name="_xlnm.Print_Area" localSheetId="1">'01.06.2026 '!$A$1:$O$58</definedName>
    <definedName name="_xlnm.Print_Area" localSheetId="2">'02.06.2026 '!$A$1:$O$58</definedName>
    <definedName name="_xlnm.Print_Area" localSheetId="0">rev00!$A$1:$L$122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14" l="1"/>
  <c r="I48" i="114"/>
  <c r="O4" i="115" l="1"/>
  <c r="O3" i="115"/>
  <c r="O2" i="115"/>
  <c r="O1" i="115"/>
  <c r="O4" i="114"/>
  <c r="O3" i="114"/>
  <c r="O2" i="114"/>
  <c r="O1" i="114"/>
</calcChain>
</file>

<file path=xl/sharedStrings.xml><?xml version="1.0" encoding="utf-8"?>
<sst xmlns="http://schemas.openxmlformats.org/spreadsheetml/2006/main" count="307" uniqueCount="184">
  <si>
    <t>A</t>
  </si>
  <si>
    <t>B</t>
  </si>
  <si>
    <t>Proje Direktörü</t>
  </si>
  <si>
    <t>Proje Müdürü</t>
  </si>
  <si>
    <t>Yapım Müdürü</t>
  </si>
  <si>
    <t>Disiplin Müdürü</t>
  </si>
  <si>
    <t>Kalite Müdürü</t>
  </si>
  <si>
    <t>Kalite Personeli</t>
  </si>
  <si>
    <t>İSG Müdürü</t>
  </si>
  <si>
    <t>İSG Personeli</t>
  </si>
  <si>
    <t>Proje Kontrol Müdürü</t>
  </si>
  <si>
    <t>İnşaat Mühendisi / Şefi</t>
  </si>
  <si>
    <t>Çelik Mühendisi / Şefi</t>
  </si>
  <si>
    <t>Mekanik Mühendisi / Şefi</t>
  </si>
  <si>
    <t>Elektirik Mühendisi / Şefi</t>
  </si>
  <si>
    <t>Enstrüman Mühendisi / Şefi</t>
  </si>
  <si>
    <t>Boya&amp;İzolasyon Mühendisi / Şefi</t>
  </si>
  <si>
    <t>İdari &amp; Mali Müdür</t>
  </si>
  <si>
    <t>İdari &amp; Mali Personel</t>
  </si>
  <si>
    <t>Doküman Kontrol</t>
  </si>
  <si>
    <t>Maliyet Kontrol Mühendisi / Şefi</t>
  </si>
  <si>
    <t>Planlama Mühendisi / Şefi</t>
  </si>
  <si>
    <t>İskele Uzmanı</t>
  </si>
  <si>
    <t>Kontrat Mühendisi / Şefi</t>
  </si>
  <si>
    <t>Satınalma Müdürü</t>
  </si>
  <si>
    <t>Doktor</t>
  </si>
  <si>
    <t>Ambar Memuru</t>
  </si>
  <si>
    <t>Yönetici Asistanı</t>
  </si>
  <si>
    <t>Kontrat Müdürü</t>
  </si>
  <si>
    <t>Metraj Uzmanı / Şefi</t>
  </si>
  <si>
    <t>Puantör</t>
  </si>
  <si>
    <t>Ofis Hizmetleri</t>
  </si>
  <si>
    <t>Topoğraf</t>
  </si>
  <si>
    <t>Şenör</t>
  </si>
  <si>
    <t>Şoför</t>
  </si>
  <si>
    <t>Formen</t>
  </si>
  <si>
    <t>İşçi</t>
  </si>
  <si>
    <t>Yardımcı</t>
  </si>
  <si>
    <t>Boyacı</t>
  </si>
  <si>
    <t>Kablo Çekim</t>
  </si>
  <si>
    <t>Teknisyen</t>
  </si>
  <si>
    <t>Riger</t>
  </si>
  <si>
    <t>Operatör</t>
  </si>
  <si>
    <t>İskeleci</t>
  </si>
  <si>
    <t>Kaynakçı</t>
  </si>
  <si>
    <t>Borucu</t>
  </si>
  <si>
    <t>Montajcı</t>
  </si>
  <si>
    <t>Kalıpçı</t>
  </si>
  <si>
    <t>Demirci</t>
  </si>
  <si>
    <t>Düz İşçi</t>
  </si>
  <si>
    <t>Duvarcı</t>
  </si>
  <si>
    <t>HVAC</t>
  </si>
  <si>
    <t>Yagın Betonu</t>
  </si>
  <si>
    <t>İnce İşler</t>
  </si>
  <si>
    <t>Bina Tesisat</t>
  </si>
  <si>
    <t>İNDİREKT PERSONEL</t>
  </si>
  <si>
    <t>Satınalma Personeli</t>
  </si>
  <si>
    <t>Teknik Ofis Müdürü</t>
  </si>
  <si>
    <t>Teknik Ofis Mühendisi / Şefi</t>
  </si>
  <si>
    <t>Teknik Resssam</t>
  </si>
  <si>
    <t>DİREKT PERSONEL</t>
  </si>
  <si>
    <t>İnşaat</t>
  </si>
  <si>
    <t>Çelik</t>
  </si>
  <si>
    <t>Boru</t>
  </si>
  <si>
    <t>Punto Kaynakçı</t>
  </si>
  <si>
    <t>Mekanik</t>
  </si>
  <si>
    <t>Elektrik</t>
  </si>
  <si>
    <t>Enstrüman</t>
  </si>
  <si>
    <t>Diğer</t>
  </si>
  <si>
    <t>Precomissioning İşleri</t>
  </si>
  <si>
    <t>İzolasyon</t>
  </si>
  <si>
    <t>Boya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</si>
  <si>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</si>
  <si>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</si>
  <si>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</si>
  <si>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</si>
  <si>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</si>
  <si>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</si>
  <si>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</si>
  <si>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</si>
  <si>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</si>
  <si>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</si>
  <si>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İŞGÜCÜ</t>
  </si>
  <si>
    <t>EKİPMAN</t>
  </si>
  <si>
    <t>İNDİREKT EKİPMAN</t>
  </si>
  <si>
    <t>DİREKT EKİPMAN</t>
  </si>
  <si>
    <t>Araba</t>
  </si>
  <si>
    <t>Otobüs / Minibüs</t>
  </si>
  <si>
    <t>Pikap</t>
  </si>
  <si>
    <t>Su Tankeri</t>
  </si>
  <si>
    <t>Yakıt Tankeri</t>
  </si>
  <si>
    <t>Forklift</t>
  </si>
  <si>
    <t>Jeneratör</t>
  </si>
  <si>
    <t>Dalgıç Pompa</t>
  </si>
  <si>
    <t>Traktör</t>
  </si>
  <si>
    <t>Ambulas</t>
  </si>
  <si>
    <t>Vidanjör</t>
  </si>
  <si>
    <t>Treyler</t>
  </si>
  <si>
    <t>Kamyon</t>
  </si>
  <si>
    <t>Ekskavatör</t>
  </si>
  <si>
    <t>Loder</t>
  </si>
  <si>
    <t>Vinç (50 tona kadar)</t>
  </si>
  <si>
    <t>Vinç (150 tona kadar)</t>
  </si>
  <si>
    <t>Vinç (250 tona kadar)</t>
  </si>
  <si>
    <t>Kule Vinç</t>
  </si>
  <si>
    <t>Kazık Makinası</t>
  </si>
  <si>
    <t>Beton Pompası</t>
  </si>
  <si>
    <t>Beton Mikseri</t>
  </si>
  <si>
    <t>Manlift</t>
  </si>
  <si>
    <t>Demir Kesme Bükme Makinası</t>
  </si>
  <si>
    <t>Kaynak Makinası</t>
  </si>
  <si>
    <t>Zıp Zıp Kompaktör</t>
  </si>
  <si>
    <t>Silindir</t>
  </si>
  <si>
    <t>Kompresör</t>
  </si>
  <si>
    <t>Geçici Saha Aydınlatması</t>
  </si>
  <si>
    <t>Kişi Sayısı</t>
  </si>
  <si>
    <t>Rapor Günü</t>
  </si>
  <si>
    <t>TOPLAM</t>
  </si>
  <si>
    <t>İNSAN X SAAT</t>
  </si>
  <si>
    <t>KOD</t>
  </si>
  <si>
    <t>Önceki Dönem</t>
  </si>
  <si>
    <t>C</t>
  </si>
  <si>
    <t>D</t>
  </si>
  <si>
    <t>Ekipman Sayısı</t>
  </si>
  <si>
    <t>GÜNLÜK RAPOR</t>
  </si>
  <si>
    <t>FİRMA</t>
  </si>
  <si>
    <t>SÖZLEŞME</t>
  </si>
  <si>
    <t>TARİH</t>
  </si>
  <si>
    <t>HAVA DURUMU</t>
  </si>
  <si>
    <t>HAVA SICAKLIĞI</t>
  </si>
  <si>
    <t>Parçalı Bulutlu</t>
  </si>
  <si>
    <t>Güneşli</t>
  </si>
  <si>
    <t>Sisli</t>
  </si>
  <si>
    <t>Sağanak Yağışlı</t>
  </si>
  <si>
    <t>Aralıklı Kar Yağışlı</t>
  </si>
  <si>
    <t>RAPOR NO</t>
  </si>
  <si>
    <t>NEM</t>
  </si>
  <si>
    <t>Çok Bulutlu</t>
  </si>
  <si>
    <t>Aralıklı Yağmurlu</t>
  </si>
  <si>
    <t>Hafif Yağmurlu</t>
  </si>
  <si>
    <t>Hafif Kar Yağışlı</t>
  </si>
  <si>
    <t>Yoğun Kar Yağışlı</t>
  </si>
  <si>
    <t>Fırtınalı</t>
  </si>
  <si>
    <t>RÜZGAR (km/s)</t>
  </si>
  <si>
    <t>RAPOR GÜNÜ YAPILACAK İŞLER</t>
  </si>
  <si>
    <t>ERTESİ GÜN İÇİN PLANLANAN İŞLER</t>
  </si>
  <si>
    <t>NO</t>
  </si>
  <si>
    <t>ALAN</t>
  </si>
  <si>
    <t>İŞİN AÇIKLAMASI</t>
  </si>
  <si>
    <t>ABC</t>
  </si>
  <si>
    <t>XYC</t>
  </si>
  <si>
    <t>ÖNCEKİ GÜN YAPILAN İŞLER</t>
  </si>
  <si>
    <t>PROJE İLE İLGİLİ ÖNEMLİ HUSUSLAR (Gecikmeler, Problemler, Beklenmedik Durumlar vs.)</t>
  </si>
  <si>
    <t>BAŞ. TARİHİ</t>
  </si>
  <si>
    <t>BİTİŞ TARİHİ</t>
  </si>
  <si>
    <t xml:space="preserve">Doc. No         : </t>
  </si>
  <si>
    <t xml:space="preserve">Date Created : </t>
  </si>
  <si>
    <t xml:space="preserve">Rev. No         : </t>
  </si>
  <si>
    <t xml:space="preserve">Rev. Date      : </t>
  </si>
  <si>
    <t xml:space="preserve">Page No         : </t>
  </si>
  <si>
    <t>1/3</t>
  </si>
  <si>
    <t>PROJE GÜNLÜK RAPORU</t>
  </si>
  <si>
    <t>EKİP 1</t>
  </si>
  <si>
    <t>EKİP 2</t>
  </si>
  <si>
    <t>ELEKTRİK/ENSTRÜMAN</t>
  </si>
  <si>
    <t>BİRİM</t>
  </si>
  <si>
    <t>Birim İNSANxSAAT</t>
  </si>
  <si>
    <t>Proje METRAJI</t>
  </si>
  <si>
    <t>Toplam İNSANxSAAT</t>
  </si>
  <si>
    <t>Gerçekleşen İlerleme</t>
  </si>
  <si>
    <t>Fiziksel İlerleme</t>
  </si>
  <si>
    <t>Dönemsel</t>
  </si>
  <si>
    <t>Kümüle</t>
  </si>
  <si>
    <t>İLERLEME</t>
  </si>
  <si>
    <t>EKİP</t>
  </si>
  <si>
    <t>EKİP2</t>
  </si>
  <si>
    <t>EKİP1</t>
  </si>
  <si>
    <t>RAPOR GÜNÜ YAPILAN İŞLER</t>
  </si>
  <si>
    <t xml:space="preserve">AÇIKLAMA </t>
  </si>
  <si>
    <t>9  İNSAN x SAAT</t>
  </si>
  <si>
    <t>ELEKTRİK/ENSTRÜMAN Mühendisi</t>
  </si>
  <si>
    <t xml:space="preserve">ELEKTRİK        TPY-2025-5249 RAFINERI ONAYLI İÇ TESISAT PROJELENDIRME           </t>
  </si>
  <si>
    <t>KORYON</t>
  </si>
  <si>
    <t xml:space="preserve">RAFINERI ONAYLI İÇ TESISAT PROJELENDIRME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</si>
</sst>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\°\C"/>
    <numFmt numFmtId="165" formatCode="dd/mm/yy;@"/>
    <numFmt numFmtId="166" formatCode="%0"/>
    <numFmt numFmtId="167" formatCode="0\ &quot;km/s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Symbol"/>
      <family val="1"/>
      <charset val="2"/>
    </font>
    <font>
      <b/>
      <sz val="22"/>
      <color theme="1"/>
      <name val="Calibri"/>
      <family val="2"/>
      <charset val="162"/>
      <scheme val="minor"/>
    </font>
    <font>
      <sz val="10"/>
      <name val="Arial"/>
      <family val="2"/>
    </font>
    <font>
      <sz val="11"/>
      <name val="Arial"/>
      <family val="2"/>
      <charset val="162"/>
    </font>
    <font>
      <sz val="8"/>
      <name val="Arial"/>
      <family val="2"/>
      <charset val="162"/>
    </font>
    <font>
      <sz val="11"/>
      <color theme="1"/>
      <name val="Calibri"/>
      <family val="2"/>
      <scheme val="minor"/>
    </font>
    <font>
      <b/>
      <i/>
      <sz val="10"/>
      <color rgb="FFFF0000"/>
      <name val="Arial"/>
      <family val="2"/>
      <charset val="162"/>
    </font>
    <font>
      <b/>
      <sz val="9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sz val="9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58800012207406E-2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5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7" fillId="0" borderId="0"/>
    <xf numFmtId="0" fontId="1" fillId="0" borderId="0"/>
  </cellStyleXfs>
  <cellXfs count="24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2" applyNumberFormat="1" applyFont="1" applyFill="1" applyBorder="1" applyAlignment="1">
      <alignment horizontal="center" vertical="center"/>
    </xf>
    <xf numFmtId="43" fontId="2" fillId="2" borderId="1" xfId="2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2" applyNumberFormat="1" applyFont="1" applyBorder="1" applyAlignment="1">
      <alignment horizontal="center" vertical="center"/>
    </xf>
    <xf numFmtId="0" fontId="3" fillId="0" borderId="4" xfId="2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2" applyNumberFormat="1" applyFont="1" applyBorder="1" applyAlignment="1">
      <alignment horizontal="center" vertical="center"/>
    </xf>
    <xf numFmtId="0" fontId="3" fillId="0" borderId="5" xfId="2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3" fontId="3" fillId="0" borderId="6" xfId="2" applyFont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0" borderId="5" xfId="2" applyFont="1" applyBorder="1" applyAlignment="1">
      <alignment horizontal="center" vertical="center"/>
    </xf>
    <xf numFmtId="43" fontId="3" fillId="0" borderId="4" xfId="2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3" borderId="17" xfId="0" applyFill="1" applyBorder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165" fontId="6" fillId="0" borderId="0" xfId="0" applyNumberFormat="1" applyFont="1" applyAlignment="1">
      <alignment horizontal="centerContinuous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2" borderId="18" xfId="0" applyFill="1" applyBorder="1" applyAlignment="1">
      <alignment vertical="center"/>
    </xf>
    <xf numFmtId="0" fontId="0" fillId="2" borderId="18" xfId="0" applyFill="1" applyBorder="1" applyAlignment="1">
      <alignment horizontal="right" vertical="center"/>
    </xf>
    <xf numFmtId="0" fontId="0" fillId="2" borderId="17" xfId="0" applyFill="1" applyBorder="1" applyAlignment="1">
      <alignment horizontal="left" vertical="center"/>
    </xf>
    <xf numFmtId="0" fontId="0" fillId="2" borderId="17" xfId="0" applyFill="1" applyBorder="1" applyAlignment="1">
      <alignment vertical="center"/>
    </xf>
    <xf numFmtId="0" fontId="0" fillId="2" borderId="17" xfId="0" applyFill="1" applyBorder="1" applyAlignment="1">
      <alignment horizontal="right" vertic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4" fillId="4" borderId="21" xfId="0" applyFont="1" applyFill="1" applyBorder="1" applyAlignment="1">
      <alignment horizontal="centerContinuous" vertical="center"/>
    </xf>
    <xf numFmtId="0" fontId="0" fillId="4" borderId="22" xfId="0" applyFill="1" applyBorder="1" applyAlignment="1">
      <alignment horizontal="centerContinuous" vertical="center"/>
    </xf>
    <xf numFmtId="0" fontId="0" fillId="4" borderId="23" xfId="0" applyFill="1" applyBorder="1" applyAlignment="1">
      <alignment horizontal="centerContinuous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left" vertical="center"/>
    </xf>
    <xf numFmtId="0" fontId="0" fillId="3" borderId="24" xfId="0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Continuous" vertical="center"/>
    </xf>
    <xf numFmtId="0" fontId="2" fillId="4" borderId="23" xfId="0" applyFont="1" applyFill="1" applyBorder="1" applyAlignment="1">
      <alignment horizontal="centerContinuous" vertical="center"/>
    </xf>
    <xf numFmtId="0" fontId="2" fillId="4" borderId="22" xfId="0" applyFont="1" applyFill="1" applyBorder="1" applyAlignment="1">
      <alignment horizontal="centerContinuous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0" fontId="2" fillId="3" borderId="22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left" vertical="center"/>
    </xf>
    <xf numFmtId="43" fontId="3" fillId="0" borderId="3" xfId="2" applyFont="1" applyFill="1" applyBorder="1" applyAlignment="1">
      <alignment horizontal="center" vertical="center"/>
    </xf>
    <xf numFmtId="43" fontId="3" fillId="0" borderId="4" xfId="2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0" fillId="2" borderId="25" xfId="0" applyNumberFormat="1" applyFill="1" applyBorder="1" applyAlignment="1">
      <alignment horizontal="right" vertical="center" indent="1"/>
    </xf>
    <xf numFmtId="0" fontId="0" fillId="2" borderId="26" xfId="0" applyFill="1" applyBorder="1" applyAlignment="1">
      <alignment horizontal="right" vertical="center" indent="1"/>
    </xf>
    <xf numFmtId="164" fontId="0" fillId="2" borderId="26" xfId="0" applyNumberFormat="1" applyFill="1" applyBorder="1" applyAlignment="1">
      <alignment horizontal="right" vertical="center" indent="1"/>
    </xf>
    <xf numFmtId="166" fontId="0" fillId="2" borderId="26" xfId="1" applyNumberFormat="1" applyFont="1" applyFill="1" applyBorder="1" applyAlignment="1">
      <alignment horizontal="right" vertical="center" indent="1"/>
    </xf>
    <xf numFmtId="167" fontId="0" fillId="2" borderId="27" xfId="0" applyNumberFormat="1" applyFill="1" applyBorder="1" applyAlignment="1">
      <alignment horizontal="right" vertical="center" indent="1"/>
    </xf>
    <xf numFmtId="0" fontId="4" fillId="2" borderId="28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4" fillId="2" borderId="17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4" fillId="2" borderId="18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29" xfId="0" applyFont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2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7" xfId="0" applyBorder="1" applyAlignment="1">
      <alignment vertical="center"/>
    </xf>
    <xf numFmtId="0" fontId="4" fillId="4" borderId="31" xfId="0" applyFont="1" applyFill="1" applyBorder="1" applyAlignment="1">
      <alignment horizontal="centerContinuous" vertical="center"/>
    </xf>
    <xf numFmtId="0" fontId="2" fillId="3" borderId="32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20" xfId="0" applyFont="1" applyFill="1" applyBorder="1" applyAlignment="1">
      <alignment vertical="center"/>
    </xf>
    <xf numFmtId="14" fontId="0" fillId="2" borderId="18" xfId="0" applyNumberFormat="1" applyFill="1" applyBorder="1" applyAlignment="1">
      <alignment horizontal="left" vertical="center"/>
    </xf>
    <xf numFmtId="14" fontId="0" fillId="2" borderId="25" xfId="0" applyNumberFormat="1" applyFill="1" applyBorder="1" applyAlignment="1">
      <alignment horizontal="right" vertical="center" indent="1"/>
    </xf>
    <xf numFmtId="14" fontId="0" fillId="2" borderId="0" xfId="0" applyNumberFormat="1" applyFill="1" applyAlignment="1">
      <alignment horizontal="left" vertical="center"/>
    </xf>
    <xf numFmtId="3" fontId="0" fillId="2" borderId="17" xfId="0" applyNumberFormat="1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4" fillId="3" borderId="17" xfId="0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Continuous" vertical="center"/>
    </xf>
    <xf numFmtId="0" fontId="4" fillId="3" borderId="28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8" fillId="0" borderId="28" xfId="3" applyFont="1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 wrapText="1"/>
    </xf>
    <xf numFmtId="0" fontId="8" fillId="0" borderId="20" xfId="3" applyFont="1" applyBorder="1" applyAlignment="1">
      <alignment horizontal="center" vertical="center" wrapText="1"/>
    </xf>
    <xf numFmtId="0" fontId="9" fillId="0" borderId="25" xfId="3" applyFont="1" applyBorder="1" applyAlignment="1">
      <alignment horizontal="left" vertical="center" wrapText="1"/>
    </xf>
    <xf numFmtId="14" fontId="9" fillId="0" borderId="26" xfId="3" applyNumberFormat="1" applyFont="1" applyBorder="1" applyAlignment="1">
      <alignment horizontal="left" vertical="center" wrapText="1"/>
    </xf>
    <xf numFmtId="0" fontId="9" fillId="0" borderId="26" xfId="3" applyFont="1" applyBorder="1" applyAlignment="1">
      <alignment horizontal="left" vertical="center" wrapText="1"/>
    </xf>
    <xf numFmtId="49" fontId="9" fillId="0" borderId="27" xfId="3" applyNumberFormat="1" applyFont="1" applyBorder="1" applyAlignment="1">
      <alignment horizontal="left" vertical="center" wrapText="1"/>
    </xf>
    <xf numFmtId="0" fontId="0" fillId="0" borderId="28" xfId="0" applyBorder="1"/>
    <xf numFmtId="0" fontId="0" fillId="0" borderId="17" xfId="0" applyBorder="1"/>
    <xf numFmtId="0" fontId="0" fillId="0" borderId="25" xfId="0" applyBorder="1"/>
    <xf numFmtId="0" fontId="0" fillId="0" borderId="19" xfId="0" applyBorder="1"/>
    <xf numFmtId="0" fontId="0" fillId="0" borderId="26" xfId="0" applyBorder="1"/>
    <xf numFmtId="0" fontId="6" fillId="0" borderId="19" xfId="0" applyFont="1" applyBorder="1" applyAlignment="1">
      <alignment horizontal="centerContinuous" vertical="center"/>
    </xf>
    <xf numFmtId="0" fontId="6" fillId="0" borderId="26" xfId="0" applyFont="1" applyBorder="1" applyAlignment="1">
      <alignment horizontal="centerContinuous" vertical="center"/>
    </xf>
    <xf numFmtId="0" fontId="6" fillId="0" borderId="20" xfId="0" applyFont="1" applyBorder="1" applyAlignment="1">
      <alignment horizontal="centerContinuous" vertical="center"/>
    </xf>
    <xf numFmtId="0" fontId="6" fillId="0" borderId="18" xfId="0" applyFont="1" applyBorder="1" applyAlignment="1">
      <alignment horizontal="centerContinuous" vertical="center"/>
    </xf>
    <xf numFmtId="0" fontId="6" fillId="0" borderId="27" xfId="0" applyFont="1" applyBorder="1" applyAlignment="1">
      <alignment horizontal="centerContinuous" vertical="center"/>
    </xf>
    <xf numFmtId="0" fontId="4" fillId="3" borderId="17" xfId="0" applyFont="1" applyFill="1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4" fillId="2" borderId="1" xfId="4" applyFont="1" applyFill="1" applyBorder="1" applyAlignment="1">
      <alignment horizontal="center" vertical="center" wrapText="1"/>
    </xf>
    <xf numFmtId="0" fontId="4" fillId="4" borderId="1" xfId="4" applyFont="1" applyFill="1" applyBorder="1" applyAlignment="1">
      <alignment horizontal="center" vertical="center" wrapText="1"/>
    </xf>
    <xf numFmtId="0" fontId="12" fillId="6" borderId="28" xfId="4" applyFont="1" applyFill="1" applyBorder="1"/>
    <xf numFmtId="0" fontId="12" fillId="6" borderId="17" xfId="4" applyFont="1" applyFill="1" applyBorder="1"/>
    <xf numFmtId="4" fontId="12" fillId="6" borderId="17" xfId="4" applyNumberFormat="1" applyFont="1" applyFill="1" applyBorder="1" applyAlignment="1">
      <alignment horizontal="center"/>
    </xf>
    <xf numFmtId="4" fontId="13" fillId="6" borderId="17" xfId="4" applyNumberFormat="1" applyFont="1" applyFill="1" applyBorder="1" applyAlignment="1">
      <alignment horizontal="center" vertical="center"/>
    </xf>
    <xf numFmtId="4" fontId="13" fillId="6" borderId="25" xfId="4" applyNumberFormat="1" applyFont="1" applyFill="1" applyBorder="1" applyAlignment="1">
      <alignment horizontal="center" vertical="center"/>
    </xf>
    <xf numFmtId="0" fontId="12" fillId="6" borderId="20" xfId="4" applyFont="1" applyFill="1" applyBorder="1"/>
    <xf numFmtId="0" fontId="12" fillId="6" borderId="18" xfId="4" applyFont="1" applyFill="1" applyBorder="1"/>
    <xf numFmtId="4" fontId="12" fillId="6" borderId="18" xfId="4" applyNumberFormat="1" applyFont="1" applyFill="1" applyBorder="1" applyAlignment="1">
      <alignment horizontal="center"/>
    </xf>
    <xf numFmtId="4" fontId="13" fillId="6" borderId="18" xfId="4" applyNumberFormat="1" applyFont="1" applyFill="1" applyBorder="1" applyAlignment="1">
      <alignment horizontal="center" vertical="center"/>
    </xf>
    <xf numFmtId="10" fontId="13" fillId="6" borderId="18" xfId="1" applyNumberFormat="1" applyFont="1" applyFill="1" applyBorder="1" applyAlignment="1">
      <alignment horizontal="center" vertical="center"/>
    </xf>
    <xf numFmtId="10" fontId="13" fillId="6" borderId="27" xfId="1" applyNumberFormat="1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10" fontId="14" fillId="7" borderId="1" xfId="4" applyNumberFormat="1" applyFont="1" applyFill="1" applyBorder="1" applyAlignment="1">
      <alignment vertical="center"/>
    </xf>
    <xf numFmtId="0" fontId="0" fillId="0" borderId="42" xfId="0" applyBorder="1" applyAlignment="1">
      <alignment vertical="center"/>
    </xf>
    <xf numFmtId="0" fontId="4" fillId="4" borderId="22" xfId="0" applyFont="1" applyFill="1" applyBorder="1" applyAlignment="1">
      <alignment horizontal="centerContinuous" vertical="center"/>
    </xf>
    <xf numFmtId="0" fontId="0" fillId="4" borderId="22" xfId="0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4" borderId="28" xfId="0" applyFont="1" applyFill="1" applyBorder="1" applyAlignment="1">
      <alignment vertical="center"/>
    </xf>
    <xf numFmtId="0" fontId="2" fillId="4" borderId="17" xfId="0" applyFont="1" applyFill="1" applyBorder="1" applyAlignment="1">
      <alignment vertical="center"/>
    </xf>
    <xf numFmtId="0" fontId="2" fillId="4" borderId="37" xfId="0" applyFont="1" applyFill="1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40" xfId="0" applyFont="1" applyFill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2" fillId="4" borderId="18" xfId="0" applyFont="1" applyFill="1" applyBorder="1" applyAlignment="1">
      <alignment vertical="center"/>
    </xf>
    <xf numFmtId="0" fontId="2" fillId="4" borderId="39" xfId="0" applyFont="1" applyFill="1" applyBorder="1" applyAlignment="1">
      <alignment vertical="center"/>
    </xf>
    <xf numFmtId="0" fontId="4" fillId="0" borderId="0" xfId="4" applyFont="1" applyAlignment="1">
      <alignment vertical="center"/>
    </xf>
    <xf numFmtId="0" fontId="4" fillId="0" borderId="40" xfId="4" applyFont="1" applyBorder="1" applyAlignment="1">
      <alignment vertical="center"/>
    </xf>
    <xf numFmtId="0" fontId="4" fillId="0" borderId="18" xfId="4" applyFont="1" applyBorder="1" applyAlignment="1">
      <alignment vertical="center"/>
    </xf>
    <xf numFmtId="0" fontId="4" fillId="0" borderId="39" xfId="4" applyFont="1" applyBorder="1" applyAlignment="1">
      <alignment vertical="center"/>
    </xf>
    <xf numFmtId="0" fontId="4" fillId="0" borderId="1" xfId="4" applyFont="1" applyBorder="1" applyAlignment="1">
      <alignment vertical="center"/>
    </xf>
    <xf numFmtId="10" fontId="14" fillId="7" borderId="1" xfId="4" applyNumberFormat="1" applyFont="1" applyFill="1" applyBorder="1" applyAlignment="1">
      <alignment horizontal="center" vertical="center"/>
    </xf>
    <xf numFmtId="4" fontId="14" fillId="7" borderId="1" xfId="4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Continuous" vertical="center"/>
    </xf>
    <xf numFmtId="0" fontId="17" fillId="7" borderId="1" xfId="0" applyFont="1" applyFill="1" applyBorder="1" applyAlignment="1">
      <alignment vertical="center" wrapText="1"/>
    </xf>
    <xf numFmtId="0" fontId="16" fillId="5" borderId="21" xfId="4" applyFont="1" applyFill="1" applyBorder="1" applyAlignment="1">
      <alignment horizontal="left"/>
    </xf>
    <xf numFmtId="0" fontId="16" fillId="5" borderId="22" xfId="4" applyFont="1" applyFill="1" applyBorder="1" applyAlignment="1">
      <alignment horizontal="left"/>
    </xf>
    <xf numFmtId="0" fontId="16" fillId="5" borderId="23" xfId="4" applyFont="1" applyFill="1" applyBorder="1" applyAlignment="1">
      <alignment horizontal="left"/>
    </xf>
    <xf numFmtId="0" fontId="0" fillId="0" borderId="38" xfId="0" applyBorder="1" applyAlignment="1">
      <alignment horizontal="left" vertical="center"/>
    </xf>
    <xf numFmtId="0" fontId="2" fillId="4" borderId="21" xfId="0" applyFont="1" applyFill="1" applyBorder="1" applyAlignment="1">
      <alignment horizontal="left" vertical="center"/>
    </xf>
    <xf numFmtId="0" fontId="2" fillId="4" borderId="23" xfId="0" applyFont="1" applyFill="1" applyBorder="1" applyAlignment="1">
      <alignment horizontal="left" vertical="center"/>
    </xf>
    <xf numFmtId="0" fontId="0" fillId="0" borderId="42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4" fillId="2" borderId="21" xfId="4" applyFont="1" applyFill="1" applyBorder="1" applyAlignment="1">
      <alignment horizontal="center" vertical="center" wrapText="1"/>
    </xf>
    <xf numFmtId="0" fontId="4" fillId="2" borderId="23" xfId="4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2" fillId="6" borderId="21" xfId="4" applyFont="1" applyFill="1" applyBorder="1" applyAlignment="1">
      <alignment horizontal="center"/>
    </xf>
    <xf numFmtId="0" fontId="12" fillId="6" borderId="22" xfId="4" applyFont="1" applyFill="1" applyBorder="1" applyAlignment="1">
      <alignment horizontal="center"/>
    </xf>
    <xf numFmtId="0" fontId="12" fillId="6" borderId="23" xfId="4" applyFont="1" applyFill="1" applyBorder="1" applyAlignment="1">
      <alignment horizontal="center"/>
    </xf>
    <xf numFmtId="0" fontId="3" fillId="0" borderId="24" xfId="2" applyNumberFormat="1" applyFont="1" applyBorder="1" applyAlignment="1">
      <alignment horizontal="center" vertical="center"/>
    </xf>
    <xf numFmtId="0" fontId="3" fillId="0" borderId="30" xfId="2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 readingOrder="1"/>
    </xf>
    <xf numFmtId="0" fontId="3" fillId="0" borderId="30" xfId="0" applyFont="1" applyBorder="1" applyAlignment="1">
      <alignment horizontal="center" vertical="center" wrapText="1" readingOrder="1"/>
    </xf>
    <xf numFmtId="0" fontId="4" fillId="0" borderId="24" xfId="4" applyFont="1" applyBorder="1" applyAlignment="1">
      <alignment horizontal="center" vertical="center" wrapText="1"/>
    </xf>
    <xf numFmtId="0" fontId="4" fillId="0" borderId="30" xfId="4" applyFont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/>
    </xf>
    <xf numFmtId="0" fontId="3" fillId="8" borderId="26" xfId="0" applyFont="1" applyFill="1" applyBorder="1" applyAlignment="1">
      <alignment horizontal="center" vertical="center"/>
    </xf>
    <xf numFmtId="16" fontId="0" fillId="0" borderId="28" xfId="0" applyNumberFormat="1" applyBorder="1" applyAlignment="1">
      <alignment horizontal="left" vertical="center" wrapText="1"/>
    </xf>
    <xf numFmtId="16" fontId="0" fillId="0" borderId="17" xfId="0" applyNumberFormat="1" applyBorder="1" applyAlignment="1">
      <alignment horizontal="left" vertical="center" wrapText="1"/>
    </xf>
    <xf numFmtId="16" fontId="0" fillId="0" borderId="25" xfId="0" applyNumberFormat="1" applyBorder="1" applyAlignment="1">
      <alignment horizontal="left" vertical="center" wrapText="1"/>
    </xf>
    <xf numFmtId="16" fontId="0" fillId="0" borderId="19" xfId="0" applyNumberFormat="1" applyBorder="1" applyAlignment="1">
      <alignment horizontal="left" vertical="center" wrapText="1"/>
    </xf>
    <xf numFmtId="16" fontId="0" fillId="0" borderId="0" xfId="0" applyNumberFormat="1" applyAlignment="1">
      <alignment horizontal="left" vertical="center" wrapText="1"/>
    </xf>
    <xf numFmtId="16" fontId="0" fillId="0" borderId="26" xfId="0" applyNumberFormat="1" applyBorder="1" applyAlignment="1">
      <alignment horizontal="left" vertical="center" wrapText="1"/>
    </xf>
    <xf numFmtId="16" fontId="0" fillId="0" borderId="20" xfId="0" applyNumberFormat="1" applyBorder="1" applyAlignment="1">
      <alignment horizontal="left" vertical="center" wrapText="1"/>
    </xf>
    <xf numFmtId="16" fontId="0" fillId="0" borderId="18" xfId="0" applyNumberFormat="1" applyBorder="1" applyAlignment="1">
      <alignment horizontal="left" vertical="center" wrapText="1"/>
    </xf>
    <xf numFmtId="16" fontId="0" fillId="0" borderId="27" xfId="0" applyNumberFormat="1" applyBorder="1" applyAlignment="1">
      <alignment horizontal="left" vertical="center" wrapText="1"/>
    </xf>
    <xf numFmtId="0" fontId="4" fillId="4" borderId="21" xfId="4" applyFont="1" applyFill="1" applyBorder="1" applyAlignment="1">
      <alignment horizontal="center" vertical="center" wrapText="1"/>
    </xf>
    <xf numFmtId="0" fontId="4" fillId="4" borderId="36" xfId="4" applyFont="1" applyFill="1" applyBorder="1" applyAlignment="1">
      <alignment horizontal="center" vertical="center" wrapText="1"/>
    </xf>
    <xf numFmtId="16" fontId="0" fillId="0" borderId="0" xfId="0" applyNumberFormat="1" applyBorder="1" applyAlignment="1">
      <alignment horizontal="left" vertical="center" wrapText="1"/>
    </xf>
    <xf numFmtId="0" fontId="3" fillId="8" borderId="43" xfId="0" applyFont="1" applyFill="1" applyBorder="1" applyAlignment="1">
      <alignment horizontal="center" vertical="center"/>
    </xf>
    <xf numFmtId="0" fontId="3" fillId="8" borderId="27" xfId="0" applyFont="1" applyFill="1" applyBorder="1" applyAlignment="1">
      <alignment horizontal="center" vertical="center"/>
    </xf>
  </cellXfs>
  <cellStyles count="5">
    <cellStyle name="Normal" xfId="0" builtinId="0"/>
    <cellStyle name="Normal 2 2 2" xfId="3" xr:uid="{00000000-0005-0000-0000-000002000000}"/>
    <cellStyle name="Normal 3 2" xfId="4" xr:uid="{00000000-0005-0000-0000-000003000000}"/>
    <cellStyle name="Virgül" xfId="2" builtinId="3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139700</xdr:rowOff>
    </xdr:from>
    <xdr:to>
      <xdr:col>1</xdr:col>
      <xdr:colOff>1473200</xdr:colOff>
      <xdr:row>4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683C16-D7C6-4A59-893A-7775E2381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28600" y="139700"/>
          <a:ext cx="41878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139700</xdr:rowOff>
    </xdr:from>
    <xdr:to>
      <xdr:col>1</xdr:col>
      <xdr:colOff>1473200</xdr:colOff>
      <xdr:row>4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1C23B5-DD42-4F28-89F4-EA688A484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28600" y="139700"/>
          <a:ext cx="41878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22"/>
  <sheetViews>
    <sheetView showGridLines="0" zoomScale="70" zoomScaleNormal="70" workbookViewId="0">
      <selection activeCell="A63" sqref="A63"/>
    </sheetView>
  </sheetViews>
  <sheetFormatPr defaultRowHeight="14.4" x14ac:dyDescent="0.3"/>
  <cols>
    <col min="1" max="1" width="10.6640625" customWidth="1"/>
    <col min="2" max="2" width="30.6640625" customWidth="1"/>
    <col min="3" max="5" width="13.33203125" customWidth="1"/>
    <col min="6" max="6" width="15.6640625" customWidth="1"/>
    <col min="7" max="7" width="10.6640625" customWidth="1"/>
    <col min="8" max="8" width="30.6640625" customWidth="1"/>
    <col min="9" max="12" width="15.6640625" customWidth="1"/>
    <col min="16" max="16" width="15.44140625" bestFit="1" customWidth="1"/>
  </cols>
  <sheetData>
    <row r="1" spans="1:16" s="21" customFormat="1" ht="28.8" x14ac:dyDescent="0.3">
      <c r="A1" s="40" t="s">
        <v>124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1"/>
    </row>
    <row r="2" spans="1:16" s="21" customFormat="1" x14ac:dyDescent="0.3">
      <c r="A2" s="78" t="s">
        <v>135</v>
      </c>
      <c r="B2" s="47">
        <v>101</v>
      </c>
      <c r="C2" s="48"/>
      <c r="D2" s="48"/>
      <c r="E2" s="48"/>
      <c r="F2" s="48"/>
      <c r="G2" s="48"/>
      <c r="H2" s="48"/>
      <c r="I2" s="49"/>
      <c r="J2" s="49"/>
      <c r="K2" s="80" t="s">
        <v>127</v>
      </c>
      <c r="L2" s="73">
        <v>44328</v>
      </c>
      <c r="P2" s="21" t="s">
        <v>131</v>
      </c>
    </row>
    <row r="3" spans="1:16" s="21" customFormat="1" x14ac:dyDescent="0.3">
      <c r="A3" s="79" t="s">
        <v>125</v>
      </c>
      <c r="B3" s="43" t="s">
        <v>149</v>
      </c>
      <c r="C3" s="42"/>
      <c r="D3" s="42"/>
      <c r="E3" s="42"/>
      <c r="F3" s="42"/>
      <c r="G3" s="42"/>
      <c r="H3" s="42"/>
      <c r="I3" s="44"/>
      <c r="J3" s="44"/>
      <c r="K3" s="81" t="s">
        <v>128</v>
      </c>
      <c r="L3" s="74" t="s">
        <v>131</v>
      </c>
      <c r="P3" s="21" t="s">
        <v>130</v>
      </c>
    </row>
    <row r="4" spans="1:16" s="21" customFormat="1" x14ac:dyDescent="0.3">
      <c r="A4" s="79" t="s">
        <v>126</v>
      </c>
      <c r="B4" s="43" t="s">
        <v>150</v>
      </c>
      <c r="C4" s="42"/>
      <c r="D4" s="42"/>
      <c r="E4" s="42"/>
      <c r="F4" s="42"/>
      <c r="G4" s="42"/>
      <c r="H4" s="42"/>
      <c r="I4" s="44"/>
      <c r="J4" s="44"/>
      <c r="K4" s="81" t="s">
        <v>129</v>
      </c>
      <c r="L4" s="75">
        <v>10</v>
      </c>
      <c r="M4" s="22"/>
      <c r="P4" s="21" t="s">
        <v>137</v>
      </c>
    </row>
    <row r="5" spans="1:16" s="21" customFormat="1" x14ac:dyDescent="0.3">
      <c r="A5" s="50"/>
      <c r="B5" s="42"/>
      <c r="C5" s="42"/>
      <c r="D5" s="42"/>
      <c r="E5" s="42"/>
      <c r="F5" s="42"/>
      <c r="G5" s="42"/>
      <c r="H5" s="42"/>
      <c r="I5" s="44"/>
      <c r="J5" s="44"/>
      <c r="K5" s="81" t="s">
        <v>136</v>
      </c>
      <c r="L5" s="76">
        <v>0.1</v>
      </c>
      <c r="P5" s="21" t="s">
        <v>138</v>
      </c>
    </row>
    <row r="6" spans="1:16" s="21" customFormat="1" x14ac:dyDescent="0.3">
      <c r="A6" s="51"/>
      <c r="B6" s="45"/>
      <c r="C6" s="45"/>
      <c r="D6" s="45"/>
      <c r="E6" s="45"/>
      <c r="F6" s="45"/>
      <c r="G6" s="45"/>
      <c r="H6" s="45"/>
      <c r="I6" s="46"/>
      <c r="J6" s="46"/>
      <c r="K6" s="82" t="s">
        <v>143</v>
      </c>
      <c r="L6" s="77">
        <v>100</v>
      </c>
      <c r="P6" s="21" t="s">
        <v>139</v>
      </c>
    </row>
    <row r="7" spans="1:16" s="21" customFormat="1" x14ac:dyDescent="0.3">
      <c r="A7" s="52" t="s">
        <v>144</v>
      </c>
      <c r="B7" s="53"/>
      <c r="C7" s="53"/>
      <c r="D7" s="53"/>
      <c r="E7" s="53"/>
      <c r="F7" s="54"/>
      <c r="G7" s="52" t="s">
        <v>145</v>
      </c>
      <c r="H7" s="53"/>
      <c r="I7" s="53"/>
      <c r="J7" s="53"/>
      <c r="K7" s="53"/>
      <c r="L7" s="54"/>
      <c r="P7" s="21" t="s">
        <v>133</v>
      </c>
    </row>
    <row r="8" spans="1:16" s="21" customFormat="1" x14ac:dyDescent="0.3">
      <c r="A8" s="56" t="s">
        <v>146</v>
      </c>
      <c r="B8" s="57" t="s">
        <v>148</v>
      </c>
      <c r="C8" s="39"/>
      <c r="D8" s="39"/>
      <c r="E8" s="39"/>
      <c r="F8" s="58" t="s">
        <v>147</v>
      </c>
      <c r="G8" s="56" t="s">
        <v>146</v>
      </c>
      <c r="H8" s="57" t="s">
        <v>148</v>
      </c>
      <c r="I8" s="57"/>
      <c r="J8" s="57"/>
      <c r="K8" s="57"/>
      <c r="L8" s="58" t="s">
        <v>147</v>
      </c>
      <c r="P8" s="21" t="s">
        <v>134</v>
      </c>
    </row>
    <row r="9" spans="1:16" s="21" customFormat="1" x14ac:dyDescent="0.3">
      <c r="A9" s="23">
        <v>1</v>
      </c>
      <c r="B9" s="24"/>
      <c r="C9" s="24"/>
      <c r="D9" s="24"/>
      <c r="E9" s="24"/>
      <c r="F9" s="35"/>
      <c r="G9" s="23">
        <v>1</v>
      </c>
      <c r="H9" s="26"/>
      <c r="I9" s="26"/>
      <c r="J9" s="26"/>
      <c r="K9" s="26"/>
      <c r="L9" s="35"/>
      <c r="P9" s="21" t="s">
        <v>140</v>
      </c>
    </row>
    <row r="10" spans="1:16" s="21" customFormat="1" x14ac:dyDescent="0.3">
      <c r="A10" s="27">
        <v>2</v>
      </c>
      <c r="B10" s="28"/>
      <c r="C10" s="28"/>
      <c r="D10" s="28"/>
      <c r="E10" s="28"/>
      <c r="F10" s="36"/>
      <c r="G10" s="27">
        <v>2</v>
      </c>
      <c r="H10" s="30"/>
      <c r="I10" s="30"/>
      <c r="J10" s="30"/>
      <c r="K10" s="30"/>
      <c r="L10" s="36"/>
      <c r="P10" s="21" t="s">
        <v>141</v>
      </c>
    </row>
    <row r="11" spans="1:16" s="21" customFormat="1" x14ac:dyDescent="0.3">
      <c r="A11" s="27">
        <v>3</v>
      </c>
      <c r="B11" s="28"/>
      <c r="C11" s="28"/>
      <c r="D11" s="28"/>
      <c r="E11" s="28"/>
      <c r="F11" s="36"/>
      <c r="G11" s="27">
        <v>3</v>
      </c>
      <c r="H11" s="30"/>
      <c r="I11" s="30"/>
      <c r="J11" s="30"/>
      <c r="K11" s="30"/>
      <c r="L11" s="36"/>
      <c r="P11" s="21" t="s">
        <v>142</v>
      </c>
    </row>
    <row r="12" spans="1:16" s="21" customFormat="1" x14ac:dyDescent="0.3">
      <c r="A12" s="27">
        <v>4</v>
      </c>
      <c r="B12" s="28"/>
      <c r="C12" s="28"/>
      <c r="D12" s="28"/>
      <c r="E12" s="28"/>
      <c r="F12" s="36"/>
      <c r="G12" s="27">
        <v>4</v>
      </c>
      <c r="H12" s="30"/>
      <c r="I12" s="30"/>
      <c r="J12" s="30"/>
      <c r="K12" s="30"/>
      <c r="L12" s="36"/>
      <c r="P12" s="21" t="s">
        <v>132</v>
      </c>
    </row>
    <row r="13" spans="1:16" s="21" customFormat="1" x14ac:dyDescent="0.3">
      <c r="A13" s="27">
        <v>5</v>
      </c>
      <c r="B13" s="28"/>
      <c r="C13" s="28"/>
      <c r="D13" s="28"/>
      <c r="E13" s="28"/>
      <c r="F13" s="36"/>
      <c r="G13" s="27">
        <v>5</v>
      </c>
      <c r="H13" s="30"/>
      <c r="I13" s="30"/>
      <c r="J13" s="30"/>
      <c r="K13" s="30"/>
      <c r="L13" s="36"/>
    </row>
    <row r="14" spans="1:16" s="21" customFormat="1" x14ac:dyDescent="0.3">
      <c r="A14" s="27">
        <v>6</v>
      </c>
      <c r="B14" s="28"/>
      <c r="C14" s="28"/>
      <c r="D14" s="28"/>
      <c r="E14" s="28"/>
      <c r="F14" s="36"/>
      <c r="G14" s="27">
        <v>6</v>
      </c>
      <c r="H14" s="30"/>
      <c r="I14" s="30"/>
      <c r="J14" s="30"/>
      <c r="K14" s="30"/>
      <c r="L14" s="36"/>
    </row>
    <row r="15" spans="1:16" s="21" customFormat="1" x14ac:dyDescent="0.3">
      <c r="A15" s="27">
        <v>7</v>
      </c>
      <c r="B15" s="28"/>
      <c r="C15" s="28"/>
      <c r="D15" s="28"/>
      <c r="E15" s="28"/>
      <c r="F15" s="36"/>
      <c r="G15" s="27">
        <v>7</v>
      </c>
      <c r="H15" s="30"/>
      <c r="I15" s="30"/>
      <c r="J15" s="30"/>
      <c r="K15" s="30"/>
      <c r="L15" s="36"/>
    </row>
    <row r="16" spans="1:16" s="21" customFormat="1" x14ac:dyDescent="0.3">
      <c r="A16" s="27">
        <v>8</v>
      </c>
      <c r="B16" s="28"/>
      <c r="C16" s="28"/>
      <c r="D16" s="28"/>
      <c r="E16" s="28"/>
      <c r="F16" s="36"/>
      <c r="G16" s="27">
        <v>8</v>
      </c>
      <c r="H16" s="30"/>
      <c r="I16" s="30"/>
      <c r="J16" s="30"/>
      <c r="K16" s="30"/>
      <c r="L16" s="36"/>
    </row>
    <row r="17" spans="1:12" s="21" customFormat="1" x14ac:dyDescent="0.3">
      <c r="A17" s="27">
        <v>9</v>
      </c>
      <c r="B17" s="28"/>
      <c r="C17" s="28"/>
      <c r="D17" s="28"/>
      <c r="E17" s="28"/>
      <c r="F17" s="36"/>
      <c r="G17" s="27">
        <v>9</v>
      </c>
      <c r="H17" s="30"/>
      <c r="I17" s="30"/>
      <c r="J17" s="30"/>
      <c r="K17" s="30"/>
      <c r="L17" s="36"/>
    </row>
    <row r="18" spans="1:12" s="21" customFormat="1" x14ac:dyDescent="0.3">
      <c r="A18" s="27">
        <v>10</v>
      </c>
      <c r="B18" s="28"/>
      <c r="C18" s="28"/>
      <c r="D18" s="28"/>
      <c r="E18" s="28"/>
      <c r="F18" s="36"/>
      <c r="G18" s="27">
        <v>10</v>
      </c>
      <c r="H18" s="30"/>
      <c r="I18" s="30"/>
      <c r="J18" s="30"/>
      <c r="K18" s="30"/>
      <c r="L18" s="36"/>
    </row>
    <row r="19" spans="1:12" s="21" customFormat="1" x14ac:dyDescent="0.3">
      <c r="A19" s="27">
        <v>11</v>
      </c>
      <c r="B19" s="28"/>
      <c r="C19" s="28"/>
      <c r="D19" s="28"/>
      <c r="E19" s="28"/>
      <c r="F19" s="36"/>
      <c r="G19" s="27">
        <v>11</v>
      </c>
      <c r="H19" s="30"/>
      <c r="I19" s="30"/>
      <c r="J19" s="30"/>
      <c r="K19" s="30"/>
      <c r="L19" s="36"/>
    </row>
    <row r="20" spans="1:12" s="21" customFormat="1" x14ac:dyDescent="0.3">
      <c r="A20" s="27">
        <v>12</v>
      </c>
      <c r="B20" s="28"/>
      <c r="C20" s="28"/>
      <c r="D20" s="28"/>
      <c r="E20" s="28"/>
      <c r="F20" s="36"/>
      <c r="G20" s="27">
        <v>12</v>
      </c>
      <c r="H20" s="30"/>
      <c r="I20" s="30"/>
      <c r="J20" s="30"/>
      <c r="K20" s="30"/>
      <c r="L20" s="36"/>
    </row>
    <row r="21" spans="1:12" s="21" customFormat="1" x14ac:dyDescent="0.3">
      <c r="A21" s="27">
        <v>13</v>
      </c>
      <c r="B21" s="28"/>
      <c r="C21" s="28"/>
      <c r="D21" s="28"/>
      <c r="E21" s="28"/>
      <c r="F21" s="36"/>
      <c r="G21" s="27">
        <v>13</v>
      </c>
      <c r="H21" s="30"/>
      <c r="I21" s="30"/>
      <c r="J21" s="30"/>
      <c r="K21" s="30"/>
      <c r="L21" s="36"/>
    </row>
    <row r="22" spans="1:12" s="21" customFormat="1" x14ac:dyDescent="0.3">
      <c r="A22" s="27">
        <v>14</v>
      </c>
      <c r="B22" s="28"/>
      <c r="C22" s="28"/>
      <c r="D22" s="28"/>
      <c r="E22" s="28"/>
      <c r="F22" s="36"/>
      <c r="G22" s="27">
        <v>14</v>
      </c>
      <c r="H22" s="30"/>
      <c r="I22" s="30"/>
      <c r="J22" s="30"/>
      <c r="K22" s="30"/>
      <c r="L22" s="36"/>
    </row>
    <row r="23" spans="1:12" s="21" customFormat="1" x14ac:dyDescent="0.3">
      <c r="A23" s="31">
        <v>15</v>
      </c>
      <c r="B23" s="32"/>
      <c r="C23" s="32"/>
      <c r="D23" s="32"/>
      <c r="E23" s="32"/>
      <c r="F23" s="37"/>
      <c r="G23" s="31">
        <v>15</v>
      </c>
      <c r="H23" s="34"/>
      <c r="I23" s="34"/>
      <c r="J23" s="34"/>
      <c r="K23" s="34"/>
      <c r="L23" s="37"/>
    </row>
    <row r="24" spans="1:12" s="21" customFormat="1" x14ac:dyDescent="0.3">
      <c r="A24" s="55" t="s">
        <v>119</v>
      </c>
      <c r="B24" s="59" t="s">
        <v>82</v>
      </c>
      <c r="C24" s="60"/>
      <c r="D24" s="59" t="s">
        <v>118</v>
      </c>
      <c r="E24" s="61"/>
      <c r="F24" s="60"/>
      <c r="G24" s="55" t="s">
        <v>119</v>
      </c>
      <c r="H24" s="59" t="s">
        <v>83</v>
      </c>
      <c r="I24" s="61"/>
      <c r="J24" s="61"/>
      <c r="K24" s="61"/>
      <c r="L24" s="60"/>
    </row>
    <row r="25" spans="1:12" s="21" customFormat="1" x14ac:dyDescent="0.3">
      <c r="A25" s="56" t="s">
        <v>0</v>
      </c>
      <c r="B25" s="62" t="s">
        <v>55</v>
      </c>
      <c r="C25" s="56" t="s">
        <v>115</v>
      </c>
      <c r="D25" s="56" t="s">
        <v>120</v>
      </c>
      <c r="E25" s="56" t="s">
        <v>116</v>
      </c>
      <c r="F25" s="56" t="s">
        <v>117</v>
      </c>
      <c r="G25" s="56" t="s">
        <v>121</v>
      </c>
      <c r="H25" s="66" t="s">
        <v>84</v>
      </c>
      <c r="I25" s="67"/>
      <c r="J25" s="67"/>
      <c r="K25" s="68"/>
      <c r="L25" s="56" t="s">
        <v>123</v>
      </c>
    </row>
    <row r="26" spans="1:12" s="21" customFormat="1" x14ac:dyDescent="0.3">
      <c r="A26" s="4">
        <v>1</v>
      </c>
      <c r="B26" s="35" t="s">
        <v>2</v>
      </c>
      <c r="C26" s="23"/>
      <c r="D26" s="23"/>
      <c r="E26" s="23"/>
      <c r="F26" s="23"/>
      <c r="G26" s="4">
        <v>1</v>
      </c>
      <c r="H26" s="26" t="s">
        <v>86</v>
      </c>
      <c r="I26" s="24"/>
      <c r="J26" s="24"/>
      <c r="K26" s="25"/>
      <c r="L26" s="23"/>
    </row>
    <row r="27" spans="1:12" s="21" customFormat="1" x14ac:dyDescent="0.3">
      <c r="A27" s="5">
        <v>2</v>
      </c>
      <c r="B27" s="36" t="s">
        <v>3</v>
      </c>
      <c r="C27" s="27"/>
      <c r="D27" s="27"/>
      <c r="E27" s="27"/>
      <c r="F27" s="27"/>
      <c r="G27" s="5">
        <v>2</v>
      </c>
      <c r="H27" s="30" t="s">
        <v>88</v>
      </c>
      <c r="I27" s="28"/>
      <c r="J27" s="28"/>
      <c r="K27" s="29"/>
      <c r="L27" s="27"/>
    </row>
    <row r="28" spans="1:12" s="21" customFormat="1" x14ac:dyDescent="0.3">
      <c r="A28" s="5">
        <v>3</v>
      </c>
      <c r="B28" s="36" t="s">
        <v>27</v>
      </c>
      <c r="C28" s="27"/>
      <c r="D28" s="27"/>
      <c r="E28" s="27"/>
      <c r="F28" s="27"/>
      <c r="G28" s="5">
        <v>3</v>
      </c>
      <c r="H28" s="30" t="s">
        <v>87</v>
      </c>
      <c r="I28" s="28"/>
      <c r="J28" s="28"/>
      <c r="K28" s="29"/>
      <c r="L28" s="27"/>
    </row>
    <row r="29" spans="1:12" s="21" customFormat="1" x14ac:dyDescent="0.3">
      <c r="A29" s="5">
        <v>4</v>
      </c>
      <c r="B29" s="36" t="s">
        <v>4</v>
      </c>
      <c r="C29" s="27"/>
      <c r="D29" s="27"/>
      <c r="E29" s="27"/>
      <c r="F29" s="27"/>
      <c r="G29" s="5">
        <v>4</v>
      </c>
      <c r="H29" s="30" t="s">
        <v>89</v>
      </c>
      <c r="I29" s="28"/>
      <c r="J29" s="28"/>
      <c r="K29" s="29"/>
      <c r="L29" s="27"/>
    </row>
    <row r="30" spans="1:12" s="21" customFormat="1" x14ac:dyDescent="0.3">
      <c r="A30" s="5">
        <v>5</v>
      </c>
      <c r="B30" s="36" t="s">
        <v>5</v>
      </c>
      <c r="C30" s="27"/>
      <c r="D30" s="27"/>
      <c r="E30" s="27"/>
      <c r="F30" s="27"/>
      <c r="G30" s="5">
        <v>5</v>
      </c>
      <c r="H30" s="30" t="s">
        <v>90</v>
      </c>
      <c r="I30" s="28"/>
      <c r="J30" s="28"/>
      <c r="K30" s="29"/>
      <c r="L30" s="27"/>
    </row>
    <row r="31" spans="1:12" s="21" customFormat="1" x14ac:dyDescent="0.3">
      <c r="A31" s="5">
        <v>6</v>
      </c>
      <c r="B31" s="36" t="s">
        <v>6</v>
      </c>
      <c r="C31" s="27"/>
      <c r="D31" s="27"/>
      <c r="E31" s="27"/>
      <c r="F31" s="27"/>
      <c r="G31" s="5">
        <v>6</v>
      </c>
      <c r="H31" s="30" t="s">
        <v>91</v>
      </c>
      <c r="I31" s="28"/>
      <c r="J31" s="28"/>
      <c r="K31" s="29"/>
      <c r="L31" s="27"/>
    </row>
    <row r="32" spans="1:12" s="21" customFormat="1" x14ac:dyDescent="0.3">
      <c r="A32" s="5">
        <v>7</v>
      </c>
      <c r="B32" s="36" t="s">
        <v>7</v>
      </c>
      <c r="C32" s="27"/>
      <c r="D32" s="27"/>
      <c r="E32" s="27"/>
      <c r="F32" s="27"/>
      <c r="G32" s="5">
        <v>7</v>
      </c>
      <c r="H32" s="30" t="s">
        <v>114</v>
      </c>
      <c r="I32" s="28"/>
      <c r="J32" s="28"/>
      <c r="K32" s="29"/>
      <c r="L32" s="27"/>
    </row>
    <row r="33" spans="1:12" s="21" customFormat="1" x14ac:dyDescent="0.3">
      <c r="A33" s="5">
        <v>8</v>
      </c>
      <c r="B33" s="36" t="s">
        <v>8</v>
      </c>
      <c r="C33" s="27"/>
      <c r="D33" s="27"/>
      <c r="E33" s="27"/>
      <c r="F33" s="27"/>
      <c r="G33" s="5">
        <v>8</v>
      </c>
      <c r="H33" s="30" t="s">
        <v>93</v>
      </c>
      <c r="I33" s="28"/>
      <c r="J33" s="28"/>
      <c r="K33" s="29"/>
      <c r="L33" s="27"/>
    </row>
    <row r="34" spans="1:12" s="21" customFormat="1" x14ac:dyDescent="0.3">
      <c r="A34" s="5">
        <v>9</v>
      </c>
      <c r="B34" s="36" t="s">
        <v>9</v>
      </c>
      <c r="C34" s="27"/>
      <c r="D34" s="27"/>
      <c r="E34" s="27"/>
      <c r="F34" s="27"/>
      <c r="G34" s="5">
        <v>9</v>
      </c>
      <c r="H34" s="30" t="s">
        <v>94</v>
      </c>
      <c r="I34" s="28"/>
      <c r="J34" s="28"/>
      <c r="K34" s="29"/>
      <c r="L34" s="27"/>
    </row>
    <row r="35" spans="1:12" s="21" customFormat="1" x14ac:dyDescent="0.3">
      <c r="A35" s="5">
        <v>10</v>
      </c>
      <c r="B35" s="36" t="s">
        <v>10</v>
      </c>
      <c r="C35" s="27"/>
      <c r="D35" s="27"/>
      <c r="E35" s="27"/>
      <c r="F35" s="27"/>
      <c r="G35" s="5">
        <v>10</v>
      </c>
      <c r="H35" s="30" t="s">
        <v>96</v>
      </c>
      <c r="I35" s="28"/>
      <c r="J35" s="28"/>
      <c r="K35" s="29"/>
      <c r="L35" s="27"/>
    </row>
    <row r="36" spans="1:12" s="21" customFormat="1" x14ac:dyDescent="0.3">
      <c r="A36" s="5">
        <v>11</v>
      </c>
      <c r="B36" s="36" t="s">
        <v>21</v>
      </c>
      <c r="C36" s="27"/>
      <c r="D36" s="27"/>
      <c r="E36" s="27"/>
      <c r="F36" s="27"/>
      <c r="G36" s="5">
        <v>11</v>
      </c>
      <c r="H36" s="30" t="s">
        <v>95</v>
      </c>
      <c r="I36" s="28"/>
      <c r="J36" s="28"/>
      <c r="K36" s="29"/>
      <c r="L36" s="27"/>
    </row>
    <row r="37" spans="1:12" s="21" customFormat="1" x14ac:dyDescent="0.3">
      <c r="A37" s="5">
        <v>12</v>
      </c>
      <c r="B37" s="36" t="s">
        <v>20</v>
      </c>
      <c r="C37" s="27"/>
      <c r="D37" s="27"/>
      <c r="E37" s="27"/>
      <c r="F37" s="27"/>
      <c r="G37" s="5">
        <v>12</v>
      </c>
      <c r="H37" s="30"/>
      <c r="I37" s="28"/>
      <c r="J37" s="28"/>
      <c r="K37" s="29"/>
      <c r="L37" s="27"/>
    </row>
    <row r="38" spans="1:12" s="21" customFormat="1" x14ac:dyDescent="0.3">
      <c r="A38" s="5">
        <v>13</v>
      </c>
      <c r="B38" s="36" t="s">
        <v>11</v>
      </c>
      <c r="C38" s="27"/>
      <c r="D38" s="27"/>
      <c r="E38" s="27"/>
      <c r="F38" s="27"/>
      <c r="G38" s="5">
        <v>13</v>
      </c>
      <c r="H38" s="30"/>
      <c r="I38" s="28"/>
      <c r="J38" s="28"/>
      <c r="K38" s="29"/>
      <c r="L38" s="27"/>
    </row>
    <row r="39" spans="1:12" s="21" customFormat="1" x14ac:dyDescent="0.3">
      <c r="A39" s="5">
        <v>14</v>
      </c>
      <c r="B39" s="36" t="s">
        <v>12</v>
      </c>
      <c r="C39" s="27"/>
      <c r="D39" s="27"/>
      <c r="E39" s="27"/>
      <c r="F39" s="27"/>
      <c r="G39" s="5">
        <v>14</v>
      </c>
      <c r="H39" s="30"/>
      <c r="I39" s="28"/>
      <c r="J39" s="28"/>
      <c r="K39" s="29"/>
      <c r="L39" s="27"/>
    </row>
    <row r="40" spans="1:12" s="21" customFormat="1" x14ac:dyDescent="0.3">
      <c r="A40" s="5">
        <v>15</v>
      </c>
      <c r="B40" s="36" t="s">
        <v>13</v>
      </c>
      <c r="C40" s="27"/>
      <c r="D40" s="27"/>
      <c r="E40" s="27"/>
      <c r="F40" s="27"/>
      <c r="G40" s="5">
        <v>15</v>
      </c>
      <c r="H40" s="30"/>
      <c r="I40" s="28"/>
      <c r="J40" s="28"/>
      <c r="K40" s="29"/>
      <c r="L40" s="27"/>
    </row>
    <row r="41" spans="1:12" s="21" customFormat="1" x14ac:dyDescent="0.3">
      <c r="A41" s="5">
        <v>16</v>
      </c>
      <c r="B41" s="36" t="s">
        <v>14</v>
      </c>
      <c r="C41" s="27"/>
      <c r="D41" s="27"/>
      <c r="E41" s="27"/>
      <c r="F41" s="27"/>
      <c r="G41" s="5">
        <v>16</v>
      </c>
      <c r="H41" s="30"/>
      <c r="I41" s="28"/>
      <c r="J41" s="28"/>
      <c r="K41" s="29"/>
      <c r="L41" s="27"/>
    </row>
    <row r="42" spans="1:12" s="21" customFormat="1" x14ac:dyDescent="0.3">
      <c r="A42" s="5">
        <v>17</v>
      </c>
      <c r="B42" s="36" t="s">
        <v>15</v>
      </c>
      <c r="C42" s="27"/>
      <c r="D42" s="27"/>
      <c r="E42" s="27"/>
      <c r="F42" s="27"/>
      <c r="G42" s="5">
        <v>17</v>
      </c>
      <c r="H42" s="30"/>
      <c r="I42" s="28"/>
      <c r="J42" s="28"/>
      <c r="K42" s="29"/>
      <c r="L42" s="27"/>
    </row>
    <row r="43" spans="1:12" s="21" customFormat="1" x14ac:dyDescent="0.3">
      <c r="A43" s="5">
        <v>18</v>
      </c>
      <c r="B43" s="36" t="s">
        <v>16</v>
      </c>
      <c r="C43" s="27"/>
      <c r="D43" s="27"/>
      <c r="E43" s="27"/>
      <c r="F43" s="27"/>
      <c r="G43" s="5">
        <v>18</v>
      </c>
      <c r="H43" s="30"/>
      <c r="I43" s="28"/>
      <c r="J43" s="28"/>
      <c r="K43" s="29"/>
      <c r="L43" s="27"/>
    </row>
    <row r="44" spans="1:12" s="21" customFormat="1" x14ac:dyDescent="0.3">
      <c r="A44" s="5">
        <v>19</v>
      </c>
      <c r="B44" s="36" t="s">
        <v>17</v>
      </c>
      <c r="C44" s="27"/>
      <c r="D44" s="27"/>
      <c r="E44" s="27"/>
      <c r="F44" s="27"/>
      <c r="G44" s="5">
        <v>19</v>
      </c>
      <c r="H44" s="30"/>
      <c r="I44" s="28"/>
      <c r="J44" s="28"/>
      <c r="K44" s="29"/>
      <c r="L44" s="27"/>
    </row>
    <row r="45" spans="1:12" s="21" customFormat="1" x14ac:dyDescent="0.3">
      <c r="A45" s="5">
        <v>20</v>
      </c>
      <c r="B45" s="36" t="s">
        <v>18</v>
      </c>
      <c r="C45" s="27"/>
      <c r="D45" s="27"/>
      <c r="E45" s="27"/>
      <c r="F45" s="27"/>
      <c r="G45" s="5">
        <v>20</v>
      </c>
      <c r="H45" s="30"/>
      <c r="I45" s="28"/>
      <c r="J45" s="28"/>
      <c r="K45" s="29"/>
      <c r="L45" s="27"/>
    </row>
    <row r="46" spans="1:12" s="21" customFormat="1" x14ac:dyDescent="0.3">
      <c r="A46" s="5">
        <v>21</v>
      </c>
      <c r="B46" s="36" t="s">
        <v>28</v>
      </c>
      <c r="C46" s="27"/>
      <c r="D46" s="27"/>
      <c r="E46" s="27"/>
      <c r="F46" s="27"/>
      <c r="G46" s="5">
        <v>21</v>
      </c>
      <c r="H46" s="30"/>
      <c r="I46" s="28"/>
      <c r="J46" s="28"/>
      <c r="K46" s="29"/>
      <c r="L46" s="27"/>
    </row>
    <row r="47" spans="1:12" s="21" customFormat="1" x14ac:dyDescent="0.3">
      <c r="A47" s="5">
        <v>22</v>
      </c>
      <c r="B47" s="36" t="s">
        <v>23</v>
      </c>
      <c r="C47" s="27"/>
      <c r="D47" s="27"/>
      <c r="E47" s="27"/>
      <c r="F47" s="27"/>
      <c r="G47" s="5">
        <v>22</v>
      </c>
      <c r="H47" s="30"/>
      <c r="I47" s="28"/>
      <c r="J47" s="28"/>
      <c r="K47" s="29"/>
      <c r="L47" s="27"/>
    </row>
    <row r="48" spans="1:12" s="21" customFormat="1" x14ac:dyDescent="0.3">
      <c r="A48" s="5">
        <v>23</v>
      </c>
      <c r="B48" s="36" t="s">
        <v>24</v>
      </c>
      <c r="C48" s="27"/>
      <c r="D48" s="27"/>
      <c r="E48" s="27"/>
      <c r="F48" s="27"/>
      <c r="G48" s="5">
        <v>23</v>
      </c>
      <c r="H48" s="30"/>
      <c r="I48" s="28"/>
      <c r="J48" s="28"/>
      <c r="K48" s="29"/>
      <c r="L48" s="27"/>
    </row>
    <row r="49" spans="1:12" s="21" customFormat="1" x14ac:dyDescent="0.3">
      <c r="A49" s="5">
        <v>24</v>
      </c>
      <c r="B49" s="36" t="s">
        <v>56</v>
      </c>
      <c r="C49" s="27"/>
      <c r="D49" s="27"/>
      <c r="E49" s="27"/>
      <c r="F49" s="27"/>
      <c r="G49" s="5">
        <v>24</v>
      </c>
      <c r="H49" s="30"/>
      <c r="I49" s="28"/>
      <c r="J49" s="28"/>
      <c r="K49" s="29"/>
      <c r="L49" s="27"/>
    </row>
    <row r="50" spans="1:12" s="21" customFormat="1" x14ac:dyDescent="0.3">
      <c r="A50" s="5">
        <v>25</v>
      </c>
      <c r="B50" s="36" t="s">
        <v>22</v>
      </c>
      <c r="C50" s="27"/>
      <c r="D50" s="27"/>
      <c r="E50" s="27"/>
      <c r="F50" s="27"/>
      <c r="G50" s="5">
        <v>25</v>
      </c>
      <c r="H50" s="30"/>
      <c r="I50" s="28"/>
      <c r="J50" s="28"/>
      <c r="K50" s="29"/>
      <c r="L50" s="27"/>
    </row>
    <row r="51" spans="1:12" s="21" customFormat="1" x14ac:dyDescent="0.3">
      <c r="A51" s="5">
        <v>26</v>
      </c>
      <c r="B51" s="36" t="s">
        <v>57</v>
      </c>
      <c r="C51" s="27"/>
      <c r="D51" s="27"/>
      <c r="E51" s="27"/>
      <c r="F51" s="27"/>
      <c r="G51" s="5">
        <v>26</v>
      </c>
      <c r="H51" s="30"/>
      <c r="I51" s="28"/>
      <c r="J51" s="28"/>
      <c r="K51" s="29"/>
      <c r="L51" s="27"/>
    </row>
    <row r="52" spans="1:12" s="21" customFormat="1" x14ac:dyDescent="0.3">
      <c r="A52" s="5">
        <v>27</v>
      </c>
      <c r="B52" s="36" t="s">
        <v>58</v>
      </c>
      <c r="C52" s="27"/>
      <c r="D52" s="27"/>
      <c r="E52" s="27"/>
      <c r="F52" s="27"/>
      <c r="G52" s="5">
        <v>27</v>
      </c>
      <c r="H52" s="30"/>
      <c r="I52" s="28"/>
      <c r="J52" s="28"/>
      <c r="K52" s="29"/>
      <c r="L52" s="27"/>
    </row>
    <row r="53" spans="1:12" s="21" customFormat="1" x14ac:dyDescent="0.3">
      <c r="A53" s="5">
        <v>28</v>
      </c>
      <c r="B53" s="36" t="s">
        <v>59</v>
      </c>
      <c r="C53" s="27"/>
      <c r="D53" s="27"/>
      <c r="E53" s="27"/>
      <c r="F53" s="27"/>
      <c r="G53" s="5">
        <v>28</v>
      </c>
      <c r="H53" s="30"/>
      <c r="I53" s="28"/>
      <c r="J53" s="28"/>
      <c r="K53" s="29"/>
      <c r="L53" s="27"/>
    </row>
    <row r="54" spans="1:12" s="21" customFormat="1" x14ac:dyDescent="0.3">
      <c r="A54" s="5">
        <v>29</v>
      </c>
      <c r="B54" s="36" t="s">
        <v>19</v>
      </c>
      <c r="C54" s="27"/>
      <c r="D54" s="27"/>
      <c r="E54" s="27"/>
      <c r="F54" s="27"/>
      <c r="G54" s="5">
        <v>29</v>
      </c>
      <c r="H54" s="30"/>
      <c r="I54" s="28"/>
      <c r="J54" s="28"/>
      <c r="K54" s="29"/>
      <c r="L54" s="27"/>
    </row>
    <row r="55" spans="1:12" s="21" customFormat="1" x14ac:dyDescent="0.3">
      <c r="A55" s="5">
        <v>30</v>
      </c>
      <c r="B55" s="36" t="s">
        <v>29</v>
      </c>
      <c r="C55" s="27"/>
      <c r="D55" s="27"/>
      <c r="E55" s="27"/>
      <c r="F55" s="27"/>
      <c r="G55" s="5">
        <v>30</v>
      </c>
      <c r="H55" s="30"/>
      <c r="I55" s="28"/>
      <c r="J55" s="28"/>
      <c r="K55" s="29"/>
      <c r="L55" s="27"/>
    </row>
    <row r="56" spans="1:12" s="21" customFormat="1" x14ac:dyDescent="0.3">
      <c r="A56" s="5">
        <v>31</v>
      </c>
      <c r="B56" s="36" t="s">
        <v>32</v>
      </c>
      <c r="C56" s="27"/>
      <c r="D56" s="27"/>
      <c r="E56" s="27"/>
      <c r="F56" s="27"/>
      <c r="G56" s="5">
        <v>31</v>
      </c>
      <c r="H56" s="30"/>
      <c r="I56" s="28"/>
      <c r="J56" s="28"/>
      <c r="K56" s="29"/>
      <c r="L56" s="27"/>
    </row>
    <row r="57" spans="1:12" s="21" customFormat="1" x14ac:dyDescent="0.3">
      <c r="A57" s="5">
        <v>32</v>
      </c>
      <c r="B57" s="36" t="s">
        <v>33</v>
      </c>
      <c r="C57" s="27"/>
      <c r="D57" s="27"/>
      <c r="E57" s="27"/>
      <c r="F57" s="27"/>
      <c r="G57" s="5">
        <v>32</v>
      </c>
      <c r="H57" s="30"/>
      <c r="I57" s="28"/>
      <c r="J57" s="28"/>
      <c r="K57" s="29"/>
      <c r="L57" s="27"/>
    </row>
    <row r="58" spans="1:12" s="21" customFormat="1" x14ac:dyDescent="0.3">
      <c r="A58" s="5">
        <v>33</v>
      </c>
      <c r="B58" s="36" t="s">
        <v>30</v>
      </c>
      <c r="C58" s="27"/>
      <c r="D58" s="27"/>
      <c r="E58" s="27"/>
      <c r="F58" s="27"/>
      <c r="G58" s="5">
        <v>33</v>
      </c>
      <c r="H58" s="30"/>
      <c r="I58" s="28"/>
      <c r="J58" s="28"/>
      <c r="K58" s="29"/>
      <c r="L58" s="27"/>
    </row>
    <row r="59" spans="1:12" s="21" customFormat="1" x14ac:dyDescent="0.3">
      <c r="A59" s="5">
        <v>34</v>
      </c>
      <c r="B59" s="36" t="s">
        <v>31</v>
      </c>
      <c r="C59" s="27"/>
      <c r="D59" s="27"/>
      <c r="E59" s="27"/>
      <c r="F59" s="27"/>
      <c r="G59" s="5">
        <v>34</v>
      </c>
      <c r="H59" s="30"/>
      <c r="I59" s="28"/>
      <c r="J59" s="28"/>
      <c r="K59" s="29"/>
      <c r="L59" s="27"/>
    </row>
    <row r="60" spans="1:12" s="21" customFormat="1" x14ac:dyDescent="0.3">
      <c r="A60" s="5">
        <v>35</v>
      </c>
      <c r="B60" s="36" t="s">
        <v>26</v>
      </c>
      <c r="C60" s="27"/>
      <c r="D60" s="27"/>
      <c r="E60" s="27"/>
      <c r="F60" s="27"/>
      <c r="G60" s="5">
        <v>35</v>
      </c>
      <c r="H60" s="30"/>
      <c r="I60" s="28"/>
      <c r="J60" s="28"/>
      <c r="K60" s="29"/>
      <c r="L60" s="27"/>
    </row>
    <row r="61" spans="1:12" s="21" customFormat="1" x14ac:dyDescent="0.3">
      <c r="A61" s="5">
        <v>36</v>
      </c>
      <c r="B61" s="36" t="s">
        <v>34</v>
      </c>
      <c r="C61" s="27"/>
      <c r="D61" s="27"/>
      <c r="E61" s="27"/>
      <c r="F61" s="27"/>
      <c r="G61" s="5">
        <v>36</v>
      </c>
      <c r="H61" s="30"/>
      <c r="I61" s="28"/>
      <c r="J61" s="28"/>
      <c r="K61" s="29"/>
      <c r="L61" s="27"/>
    </row>
    <row r="62" spans="1:12" s="21" customFormat="1" x14ac:dyDescent="0.3">
      <c r="A62" s="5">
        <v>37</v>
      </c>
      <c r="B62" s="36" t="s">
        <v>25</v>
      </c>
      <c r="C62" s="27"/>
      <c r="D62" s="27"/>
      <c r="E62" s="27"/>
      <c r="F62" s="27"/>
      <c r="G62" s="5">
        <v>37</v>
      </c>
      <c r="H62" s="30"/>
      <c r="I62" s="28"/>
      <c r="J62" s="28"/>
      <c r="K62" s="29"/>
      <c r="L62" s="27"/>
    </row>
    <row r="63" spans="1:12" s="21" customFormat="1" x14ac:dyDescent="0.3">
      <c r="A63" s="5">
        <v>38</v>
      </c>
      <c r="B63" s="36"/>
      <c r="C63" s="27"/>
      <c r="D63" s="27"/>
      <c r="E63" s="27"/>
      <c r="F63" s="27"/>
      <c r="G63" s="5"/>
      <c r="H63" s="30"/>
      <c r="I63" s="28"/>
      <c r="J63" s="28"/>
      <c r="K63" s="29"/>
      <c r="L63" s="27"/>
    </row>
    <row r="64" spans="1:12" s="21" customFormat="1" x14ac:dyDescent="0.3">
      <c r="A64" s="5">
        <v>39</v>
      </c>
      <c r="B64" s="36"/>
      <c r="C64" s="27"/>
      <c r="D64" s="27"/>
      <c r="E64" s="27"/>
      <c r="F64" s="27"/>
      <c r="G64" s="5"/>
      <c r="H64" s="30"/>
      <c r="I64" s="28"/>
      <c r="J64" s="28"/>
      <c r="K64" s="29"/>
      <c r="L64" s="27"/>
    </row>
    <row r="65" spans="1:12" s="21" customFormat="1" x14ac:dyDescent="0.3">
      <c r="A65" s="84">
        <v>40</v>
      </c>
      <c r="B65" s="85"/>
      <c r="C65" s="86"/>
      <c r="D65" s="86"/>
      <c r="E65" s="86"/>
      <c r="F65" s="86"/>
      <c r="G65" s="84"/>
      <c r="H65" s="87"/>
      <c r="I65" s="88"/>
      <c r="J65" s="88"/>
      <c r="K65" s="89"/>
      <c r="L65" s="86"/>
    </row>
    <row r="66" spans="1:12" s="21" customFormat="1" x14ac:dyDescent="0.3">
      <c r="A66" s="63" t="s">
        <v>1</v>
      </c>
      <c r="B66" s="64" t="s">
        <v>60</v>
      </c>
      <c r="C66" s="63"/>
      <c r="D66" s="63"/>
      <c r="E66" s="63"/>
      <c r="F66" s="63"/>
      <c r="G66" s="56" t="s">
        <v>122</v>
      </c>
      <c r="H66" s="66" t="s">
        <v>85</v>
      </c>
      <c r="I66" s="67"/>
      <c r="J66" s="67"/>
      <c r="K66" s="68"/>
      <c r="L66" s="63"/>
    </row>
    <row r="67" spans="1:12" s="21" customFormat="1" x14ac:dyDescent="0.3">
      <c r="A67" s="55" t="s">
        <v>72</v>
      </c>
      <c r="B67" s="65" t="s">
        <v>61</v>
      </c>
      <c r="C67" s="55"/>
      <c r="D67" s="55"/>
      <c r="E67" s="55"/>
      <c r="F67" s="55"/>
      <c r="G67" s="4">
        <v>1</v>
      </c>
      <c r="H67" s="26" t="s">
        <v>97</v>
      </c>
      <c r="I67" s="24"/>
      <c r="J67" s="24"/>
      <c r="K67" s="25"/>
      <c r="L67" s="71"/>
    </row>
    <row r="68" spans="1:12" s="21" customFormat="1" x14ac:dyDescent="0.3">
      <c r="A68" s="10">
        <v>1</v>
      </c>
      <c r="B68" s="11" t="s">
        <v>35</v>
      </c>
      <c r="C68" s="10"/>
      <c r="D68" s="10"/>
      <c r="E68" s="10"/>
      <c r="F68" s="10"/>
      <c r="G68" s="5">
        <v>2</v>
      </c>
      <c r="H68" s="30" t="s">
        <v>98</v>
      </c>
      <c r="I68" s="28"/>
      <c r="J68" s="28"/>
      <c r="K68" s="29"/>
      <c r="L68" s="5"/>
    </row>
    <row r="69" spans="1:12" s="21" customFormat="1" x14ac:dyDescent="0.3">
      <c r="A69" s="5">
        <v>2</v>
      </c>
      <c r="B69" s="6" t="s">
        <v>47</v>
      </c>
      <c r="C69" s="5"/>
      <c r="D69" s="5"/>
      <c r="E69" s="5"/>
      <c r="F69" s="5"/>
      <c r="G69" s="5">
        <v>3</v>
      </c>
      <c r="H69" s="30" t="s">
        <v>99</v>
      </c>
      <c r="I69" s="28"/>
      <c r="J69" s="28"/>
      <c r="K69" s="29"/>
      <c r="L69" s="5"/>
    </row>
    <row r="70" spans="1:12" s="21" customFormat="1" x14ac:dyDescent="0.3">
      <c r="A70" s="5">
        <v>3</v>
      </c>
      <c r="B70" s="6" t="s">
        <v>48</v>
      </c>
      <c r="C70" s="5"/>
      <c r="D70" s="5"/>
      <c r="E70" s="5"/>
      <c r="F70" s="5"/>
      <c r="G70" s="5">
        <v>4</v>
      </c>
      <c r="H70" s="30" t="s">
        <v>100</v>
      </c>
      <c r="I70" s="28"/>
      <c r="J70" s="28"/>
      <c r="K70" s="29"/>
      <c r="L70" s="5"/>
    </row>
    <row r="71" spans="1:12" s="21" customFormat="1" x14ac:dyDescent="0.3">
      <c r="A71" s="5">
        <v>4</v>
      </c>
      <c r="B71" s="6" t="s">
        <v>49</v>
      </c>
      <c r="C71" s="5"/>
      <c r="D71" s="5"/>
      <c r="E71" s="5"/>
      <c r="F71" s="5"/>
      <c r="G71" s="5">
        <v>5</v>
      </c>
      <c r="H71" s="30" t="s">
        <v>112</v>
      </c>
      <c r="I71" s="28"/>
      <c r="J71" s="28"/>
      <c r="K71" s="29"/>
      <c r="L71" s="5"/>
    </row>
    <row r="72" spans="1:12" s="21" customFormat="1" x14ac:dyDescent="0.3">
      <c r="A72" s="5">
        <v>5</v>
      </c>
      <c r="B72" s="6" t="s">
        <v>50</v>
      </c>
      <c r="C72" s="5"/>
      <c r="D72" s="5"/>
      <c r="E72" s="5"/>
      <c r="F72" s="5"/>
      <c r="G72" s="5">
        <v>6</v>
      </c>
      <c r="H72" s="30" t="s">
        <v>92</v>
      </c>
      <c r="I72" s="28"/>
      <c r="J72" s="28"/>
      <c r="K72" s="29"/>
      <c r="L72" s="5"/>
    </row>
    <row r="73" spans="1:12" s="21" customFormat="1" x14ac:dyDescent="0.3">
      <c r="A73" s="5">
        <v>6</v>
      </c>
      <c r="B73" s="6" t="s">
        <v>53</v>
      </c>
      <c r="C73" s="5"/>
      <c r="D73" s="5"/>
      <c r="E73" s="5"/>
      <c r="F73" s="5"/>
      <c r="G73" s="5">
        <v>7</v>
      </c>
      <c r="H73" s="30" t="s">
        <v>101</v>
      </c>
      <c r="I73" s="28"/>
      <c r="J73" s="28"/>
      <c r="K73" s="29"/>
      <c r="L73" s="5"/>
    </row>
    <row r="74" spans="1:12" s="21" customFormat="1" x14ac:dyDescent="0.3">
      <c r="A74" s="5">
        <v>7</v>
      </c>
      <c r="B74" s="6" t="s">
        <v>51</v>
      </c>
      <c r="C74" s="5"/>
      <c r="D74" s="5"/>
      <c r="E74" s="5"/>
      <c r="F74" s="5"/>
      <c r="G74" s="5">
        <v>8</v>
      </c>
      <c r="H74" s="30" t="s">
        <v>102</v>
      </c>
      <c r="I74" s="28"/>
      <c r="J74" s="28"/>
      <c r="K74" s="29"/>
      <c r="L74" s="5"/>
    </row>
    <row r="75" spans="1:12" s="21" customFormat="1" x14ac:dyDescent="0.3">
      <c r="A75" s="5">
        <v>8</v>
      </c>
      <c r="B75" s="6" t="s">
        <v>54</v>
      </c>
      <c r="C75" s="5"/>
      <c r="D75" s="5"/>
      <c r="E75" s="5"/>
      <c r="F75" s="5"/>
      <c r="G75" s="5">
        <v>9</v>
      </c>
      <c r="H75" s="30" t="s">
        <v>103</v>
      </c>
      <c r="I75" s="28"/>
      <c r="J75" s="28"/>
      <c r="K75" s="29"/>
      <c r="L75" s="5"/>
    </row>
    <row r="76" spans="1:12" s="21" customFormat="1" x14ac:dyDescent="0.3">
      <c r="A76" s="9">
        <v>9</v>
      </c>
      <c r="B76" s="13" t="s">
        <v>52</v>
      </c>
      <c r="C76" s="9"/>
      <c r="D76" s="9"/>
      <c r="E76" s="9"/>
      <c r="F76" s="9"/>
      <c r="G76" s="5">
        <v>10</v>
      </c>
      <c r="H76" s="30" t="s">
        <v>104</v>
      </c>
      <c r="I76" s="28"/>
      <c r="J76" s="28"/>
      <c r="K76" s="29"/>
      <c r="L76" s="5"/>
    </row>
    <row r="77" spans="1:12" s="21" customFormat="1" x14ac:dyDescent="0.3">
      <c r="A77" s="1" t="s">
        <v>73</v>
      </c>
      <c r="B77" s="12" t="s">
        <v>62</v>
      </c>
      <c r="C77" s="1"/>
      <c r="D77" s="1"/>
      <c r="E77" s="1"/>
      <c r="F77" s="1"/>
      <c r="G77" s="5">
        <v>11</v>
      </c>
      <c r="H77" s="30" t="s">
        <v>113</v>
      </c>
      <c r="I77" s="28"/>
      <c r="J77" s="28"/>
      <c r="K77" s="29"/>
      <c r="L77" s="72"/>
    </row>
    <row r="78" spans="1:12" s="21" customFormat="1" x14ac:dyDescent="0.3">
      <c r="A78" s="10">
        <v>1</v>
      </c>
      <c r="B78" s="11" t="s">
        <v>35</v>
      </c>
      <c r="C78" s="10"/>
      <c r="D78" s="10"/>
      <c r="E78" s="10"/>
      <c r="F78" s="10"/>
      <c r="G78" s="5">
        <v>12</v>
      </c>
      <c r="H78" s="30" t="s">
        <v>105</v>
      </c>
      <c r="I78" s="28"/>
      <c r="J78" s="28"/>
      <c r="K78" s="29"/>
      <c r="L78" s="5"/>
    </row>
    <row r="79" spans="1:12" s="21" customFormat="1" x14ac:dyDescent="0.3">
      <c r="A79" s="5">
        <v>2</v>
      </c>
      <c r="B79" s="6" t="s">
        <v>46</v>
      </c>
      <c r="C79" s="5"/>
      <c r="D79" s="5"/>
      <c r="E79" s="5"/>
      <c r="F79" s="5"/>
      <c r="G79" s="5">
        <v>13</v>
      </c>
      <c r="H79" s="30" t="s">
        <v>106</v>
      </c>
      <c r="I79" s="28"/>
      <c r="J79" s="28"/>
      <c r="K79" s="29"/>
      <c r="L79" s="5"/>
    </row>
    <row r="80" spans="1:12" s="21" customFormat="1" x14ac:dyDescent="0.3">
      <c r="A80" s="5">
        <v>3</v>
      </c>
      <c r="B80" s="6" t="s">
        <v>37</v>
      </c>
      <c r="C80" s="5"/>
      <c r="D80" s="5"/>
      <c r="E80" s="5"/>
      <c r="F80" s="5"/>
      <c r="G80" s="5">
        <v>14</v>
      </c>
      <c r="H80" s="30" t="s">
        <v>107</v>
      </c>
      <c r="I80" s="28"/>
      <c r="J80" s="28"/>
      <c r="K80" s="29"/>
      <c r="L80" s="5"/>
    </row>
    <row r="81" spans="1:12" s="21" customFormat="1" x14ac:dyDescent="0.3">
      <c r="A81" s="9">
        <v>4</v>
      </c>
      <c r="B81" s="13" t="s">
        <v>41</v>
      </c>
      <c r="C81" s="9"/>
      <c r="D81" s="9"/>
      <c r="E81" s="9"/>
      <c r="F81" s="9"/>
      <c r="G81" s="5">
        <v>15</v>
      </c>
      <c r="H81" s="30" t="s">
        <v>108</v>
      </c>
      <c r="I81" s="28"/>
      <c r="J81" s="28"/>
      <c r="K81" s="29"/>
      <c r="L81" s="5"/>
    </row>
    <row r="82" spans="1:12" s="21" customFormat="1" x14ac:dyDescent="0.3">
      <c r="A82" s="2" t="s">
        <v>74</v>
      </c>
      <c r="B82" s="12" t="s">
        <v>63</v>
      </c>
      <c r="C82" s="1"/>
      <c r="D82" s="1"/>
      <c r="E82" s="1"/>
      <c r="F82" s="1"/>
      <c r="G82" s="5">
        <v>16</v>
      </c>
      <c r="H82" s="30" t="s">
        <v>111</v>
      </c>
      <c r="I82" s="28"/>
      <c r="J82" s="28"/>
      <c r="K82" s="29"/>
      <c r="L82" s="72"/>
    </row>
    <row r="83" spans="1:12" s="21" customFormat="1" x14ac:dyDescent="0.3">
      <c r="A83" s="14">
        <v>1</v>
      </c>
      <c r="B83" s="11" t="s">
        <v>35</v>
      </c>
      <c r="C83" s="10"/>
      <c r="D83" s="10"/>
      <c r="E83" s="10"/>
      <c r="F83" s="10"/>
      <c r="G83" s="5">
        <v>17</v>
      </c>
      <c r="H83" s="30" t="s">
        <v>109</v>
      </c>
      <c r="I83" s="28"/>
      <c r="J83" s="28"/>
      <c r="K83" s="29"/>
      <c r="L83" s="5"/>
    </row>
    <row r="84" spans="1:12" s="21" customFormat="1" x14ac:dyDescent="0.3">
      <c r="A84" s="7">
        <v>2</v>
      </c>
      <c r="B84" s="6" t="s">
        <v>44</v>
      </c>
      <c r="C84" s="5"/>
      <c r="D84" s="5"/>
      <c r="E84" s="5"/>
      <c r="F84" s="5"/>
      <c r="G84" s="5">
        <v>18</v>
      </c>
      <c r="H84" s="30" t="s">
        <v>110</v>
      </c>
      <c r="I84" s="28"/>
      <c r="J84" s="28"/>
      <c r="K84" s="29"/>
      <c r="L84" s="5"/>
    </row>
    <row r="85" spans="1:12" s="21" customFormat="1" x14ac:dyDescent="0.3">
      <c r="A85" s="7">
        <v>3</v>
      </c>
      <c r="B85" s="6" t="s">
        <v>45</v>
      </c>
      <c r="C85" s="5"/>
      <c r="D85" s="5"/>
      <c r="E85" s="5"/>
      <c r="F85" s="5"/>
      <c r="G85" s="5">
        <v>19</v>
      </c>
      <c r="H85" s="30"/>
      <c r="I85" s="28"/>
      <c r="J85" s="28"/>
      <c r="K85" s="29"/>
      <c r="L85" s="5"/>
    </row>
    <row r="86" spans="1:12" s="21" customFormat="1" x14ac:dyDescent="0.3">
      <c r="A86" s="7">
        <v>4</v>
      </c>
      <c r="B86" s="6" t="s">
        <v>37</v>
      </c>
      <c r="C86" s="5"/>
      <c r="D86" s="5"/>
      <c r="E86" s="5"/>
      <c r="F86" s="5"/>
      <c r="G86" s="5">
        <v>20</v>
      </c>
      <c r="H86" s="30"/>
      <c r="I86" s="28"/>
      <c r="J86" s="28"/>
      <c r="K86" s="29"/>
      <c r="L86" s="5"/>
    </row>
    <row r="87" spans="1:12" s="21" customFormat="1" x14ac:dyDescent="0.3">
      <c r="A87" s="7">
        <v>5</v>
      </c>
      <c r="B87" s="6" t="s">
        <v>41</v>
      </c>
      <c r="C87" s="5"/>
      <c r="D87" s="5"/>
      <c r="E87" s="5"/>
      <c r="F87" s="5"/>
      <c r="G87" s="5">
        <v>21</v>
      </c>
      <c r="H87" s="30"/>
      <c r="I87" s="28"/>
      <c r="J87" s="28"/>
      <c r="K87" s="29"/>
      <c r="L87" s="5"/>
    </row>
    <row r="88" spans="1:12" s="21" customFormat="1" x14ac:dyDescent="0.3">
      <c r="A88" s="15">
        <v>6</v>
      </c>
      <c r="B88" s="13" t="s">
        <v>64</v>
      </c>
      <c r="C88" s="9"/>
      <c r="D88" s="9"/>
      <c r="E88" s="9"/>
      <c r="F88" s="9"/>
      <c r="G88" s="5">
        <v>22</v>
      </c>
      <c r="H88" s="30"/>
      <c r="I88" s="28"/>
      <c r="J88" s="28"/>
      <c r="K88" s="29"/>
      <c r="L88" s="5"/>
    </row>
    <row r="89" spans="1:12" s="21" customFormat="1" x14ac:dyDescent="0.3">
      <c r="A89" s="2" t="s">
        <v>75</v>
      </c>
      <c r="B89" s="12" t="s">
        <v>65</v>
      </c>
      <c r="C89" s="1"/>
      <c r="D89" s="1"/>
      <c r="E89" s="1"/>
      <c r="F89" s="1"/>
      <c r="G89" s="5">
        <v>23</v>
      </c>
      <c r="H89" s="30"/>
      <c r="I89" s="28"/>
      <c r="J89" s="28"/>
      <c r="K89" s="29"/>
      <c r="L89" s="72"/>
    </row>
    <row r="90" spans="1:12" s="21" customFormat="1" x14ac:dyDescent="0.3">
      <c r="A90" s="14">
        <v>1</v>
      </c>
      <c r="B90" s="11" t="s">
        <v>35</v>
      </c>
      <c r="C90" s="17"/>
      <c r="D90" s="17"/>
      <c r="E90" s="17"/>
      <c r="F90" s="17"/>
      <c r="G90" s="5">
        <v>24</v>
      </c>
      <c r="H90" s="30"/>
      <c r="I90" s="28"/>
      <c r="J90" s="28"/>
      <c r="K90" s="29"/>
      <c r="L90" s="69"/>
    </row>
    <row r="91" spans="1:12" s="21" customFormat="1" x14ac:dyDescent="0.3">
      <c r="A91" s="7">
        <v>2</v>
      </c>
      <c r="B91" s="6" t="s">
        <v>46</v>
      </c>
      <c r="C91" s="18"/>
      <c r="D91" s="18"/>
      <c r="E91" s="18"/>
      <c r="F91" s="18"/>
      <c r="G91" s="5">
        <v>25</v>
      </c>
      <c r="H91" s="30"/>
      <c r="I91" s="28"/>
      <c r="J91" s="28"/>
      <c r="K91" s="29"/>
      <c r="L91" s="69"/>
    </row>
    <row r="92" spans="1:12" s="21" customFormat="1" x14ac:dyDescent="0.3">
      <c r="A92" s="7">
        <v>3</v>
      </c>
      <c r="B92" s="6" t="s">
        <v>37</v>
      </c>
      <c r="C92" s="18"/>
      <c r="D92" s="18"/>
      <c r="E92" s="18"/>
      <c r="F92" s="18"/>
      <c r="G92" s="5">
        <v>26</v>
      </c>
      <c r="H92" s="30"/>
      <c r="I92" s="28"/>
      <c r="J92" s="28"/>
      <c r="K92" s="29"/>
      <c r="L92" s="69"/>
    </row>
    <row r="93" spans="1:12" s="21" customFormat="1" x14ac:dyDescent="0.3">
      <c r="A93" s="15">
        <v>4</v>
      </c>
      <c r="B93" s="13" t="s">
        <v>41</v>
      </c>
      <c r="C93" s="19"/>
      <c r="D93" s="19"/>
      <c r="E93" s="19"/>
      <c r="F93" s="19"/>
      <c r="G93" s="5">
        <v>27</v>
      </c>
      <c r="H93" s="30"/>
      <c r="I93" s="28"/>
      <c r="J93" s="28"/>
      <c r="K93" s="29"/>
      <c r="L93" s="69"/>
    </row>
    <row r="94" spans="1:12" s="21" customFormat="1" x14ac:dyDescent="0.3">
      <c r="A94" s="2" t="s">
        <v>76</v>
      </c>
      <c r="B94" s="12" t="s">
        <v>66</v>
      </c>
      <c r="C94" s="1"/>
      <c r="D94" s="1"/>
      <c r="E94" s="1"/>
      <c r="F94" s="1"/>
      <c r="G94" s="5">
        <v>28</v>
      </c>
      <c r="H94" s="30"/>
      <c r="I94" s="28"/>
      <c r="J94" s="28"/>
      <c r="K94" s="29"/>
      <c r="L94" s="72"/>
    </row>
    <row r="95" spans="1:12" s="21" customFormat="1" x14ac:dyDescent="0.3">
      <c r="A95" s="14">
        <v>1</v>
      </c>
      <c r="B95" s="11" t="s">
        <v>35</v>
      </c>
      <c r="C95" s="17"/>
      <c r="D95" s="17"/>
      <c r="E95" s="17"/>
      <c r="F95" s="17"/>
      <c r="G95" s="5">
        <v>29</v>
      </c>
      <c r="H95" s="30"/>
      <c r="I95" s="28"/>
      <c r="J95" s="28"/>
      <c r="K95" s="29"/>
      <c r="L95" s="69"/>
    </row>
    <row r="96" spans="1:12" s="21" customFormat="1" x14ac:dyDescent="0.3">
      <c r="A96" s="7">
        <v>2</v>
      </c>
      <c r="B96" s="6" t="s">
        <v>39</v>
      </c>
      <c r="C96" s="18"/>
      <c r="D96" s="18"/>
      <c r="E96" s="18"/>
      <c r="F96" s="18"/>
      <c r="G96" s="5">
        <v>30</v>
      </c>
      <c r="H96" s="30"/>
      <c r="I96" s="28"/>
      <c r="J96" s="28"/>
      <c r="K96" s="29"/>
      <c r="L96" s="69"/>
    </row>
    <row r="97" spans="1:12" s="21" customFormat="1" x14ac:dyDescent="0.3">
      <c r="A97" s="7">
        <v>3</v>
      </c>
      <c r="B97" s="6" t="s">
        <v>40</v>
      </c>
      <c r="C97" s="18"/>
      <c r="D97" s="18"/>
      <c r="E97" s="18"/>
      <c r="F97" s="18"/>
      <c r="G97" s="5">
        <v>31</v>
      </c>
      <c r="H97" s="30"/>
      <c r="I97" s="28"/>
      <c r="J97" s="28"/>
      <c r="K97" s="29"/>
      <c r="L97" s="69"/>
    </row>
    <row r="98" spans="1:12" s="21" customFormat="1" x14ac:dyDescent="0.3">
      <c r="A98" s="15">
        <v>4</v>
      </c>
      <c r="B98" s="13" t="s">
        <v>37</v>
      </c>
      <c r="C98" s="19"/>
      <c r="D98" s="19"/>
      <c r="E98" s="19"/>
      <c r="F98" s="19"/>
      <c r="G98" s="5">
        <v>32</v>
      </c>
      <c r="H98" s="30"/>
      <c r="I98" s="28"/>
      <c r="J98" s="28"/>
      <c r="K98" s="29"/>
      <c r="L98" s="69"/>
    </row>
    <row r="99" spans="1:12" s="21" customFormat="1" x14ac:dyDescent="0.3">
      <c r="A99" s="2" t="s">
        <v>77</v>
      </c>
      <c r="B99" s="12" t="s">
        <v>67</v>
      </c>
      <c r="C99" s="1"/>
      <c r="D99" s="1"/>
      <c r="E99" s="1"/>
      <c r="F99" s="1"/>
      <c r="G99" s="5">
        <v>33</v>
      </c>
      <c r="H99" s="30"/>
      <c r="I99" s="28"/>
      <c r="J99" s="28"/>
      <c r="K99" s="29"/>
      <c r="L99" s="72"/>
    </row>
    <row r="100" spans="1:12" s="21" customFormat="1" x14ac:dyDescent="0.3">
      <c r="A100" s="14">
        <v>1</v>
      </c>
      <c r="B100" s="11" t="s">
        <v>35</v>
      </c>
      <c r="C100" s="17"/>
      <c r="D100" s="17"/>
      <c r="E100" s="17"/>
      <c r="F100" s="17"/>
      <c r="G100" s="5">
        <v>34</v>
      </c>
      <c r="H100" s="30"/>
      <c r="I100" s="28"/>
      <c r="J100" s="28"/>
      <c r="K100" s="29"/>
      <c r="L100" s="69"/>
    </row>
    <row r="101" spans="1:12" s="21" customFormat="1" x14ac:dyDescent="0.3">
      <c r="A101" s="7">
        <v>2</v>
      </c>
      <c r="B101" s="6" t="s">
        <v>39</v>
      </c>
      <c r="C101" s="18"/>
      <c r="D101" s="18"/>
      <c r="E101" s="18"/>
      <c r="F101" s="18"/>
      <c r="G101" s="5">
        <v>35</v>
      </c>
      <c r="H101" s="30"/>
      <c r="I101" s="28"/>
      <c r="J101" s="28"/>
      <c r="K101" s="29"/>
      <c r="L101" s="69"/>
    </row>
    <row r="102" spans="1:12" s="21" customFormat="1" x14ac:dyDescent="0.3">
      <c r="A102" s="7">
        <v>3</v>
      </c>
      <c r="B102" s="6" t="s">
        <v>40</v>
      </c>
      <c r="C102" s="18"/>
      <c r="D102" s="18"/>
      <c r="E102" s="18"/>
      <c r="F102" s="18"/>
      <c r="G102" s="5">
        <v>36</v>
      </c>
      <c r="H102" s="30"/>
      <c r="I102" s="28"/>
      <c r="J102" s="28"/>
      <c r="K102" s="29"/>
      <c r="L102" s="69"/>
    </row>
    <row r="103" spans="1:12" s="21" customFormat="1" x14ac:dyDescent="0.3">
      <c r="A103" s="15">
        <v>4</v>
      </c>
      <c r="B103" s="13" t="s">
        <v>37</v>
      </c>
      <c r="C103" s="19"/>
      <c r="D103" s="19"/>
      <c r="E103" s="19"/>
      <c r="F103" s="19"/>
      <c r="G103" s="5">
        <v>37</v>
      </c>
      <c r="H103" s="30"/>
      <c r="I103" s="28"/>
      <c r="J103" s="28"/>
      <c r="K103" s="29"/>
      <c r="L103" s="69"/>
    </row>
    <row r="104" spans="1:12" s="21" customFormat="1" x14ac:dyDescent="0.3">
      <c r="A104" s="2" t="s">
        <v>78</v>
      </c>
      <c r="B104" s="12" t="s">
        <v>71</v>
      </c>
      <c r="C104" s="1"/>
      <c r="D104" s="1"/>
      <c r="E104" s="1"/>
      <c r="F104" s="1"/>
      <c r="G104" s="5">
        <v>38</v>
      </c>
      <c r="H104" s="30"/>
      <c r="I104" s="28"/>
      <c r="J104" s="28"/>
      <c r="K104" s="29"/>
      <c r="L104" s="72"/>
    </row>
    <row r="105" spans="1:12" s="21" customFormat="1" x14ac:dyDescent="0.3">
      <c r="A105" s="14">
        <v>1</v>
      </c>
      <c r="B105" s="11" t="s">
        <v>35</v>
      </c>
      <c r="C105" s="17"/>
      <c r="D105" s="17"/>
      <c r="E105" s="17"/>
      <c r="F105" s="17"/>
      <c r="G105" s="5">
        <v>39</v>
      </c>
      <c r="H105" s="30"/>
      <c r="I105" s="28"/>
      <c r="J105" s="28"/>
      <c r="K105" s="29"/>
      <c r="L105" s="69"/>
    </row>
    <row r="106" spans="1:12" s="21" customFormat="1" x14ac:dyDescent="0.3">
      <c r="A106" s="7">
        <v>2</v>
      </c>
      <c r="B106" s="6" t="s">
        <v>38</v>
      </c>
      <c r="C106" s="18"/>
      <c r="D106" s="18"/>
      <c r="E106" s="18"/>
      <c r="F106" s="18"/>
      <c r="G106" s="5">
        <v>40</v>
      </c>
      <c r="H106" s="30"/>
      <c r="I106" s="28"/>
      <c r="J106" s="28"/>
      <c r="K106" s="29"/>
      <c r="L106" s="69"/>
    </row>
    <row r="107" spans="1:12" s="21" customFormat="1" x14ac:dyDescent="0.3">
      <c r="A107" s="15">
        <v>3</v>
      </c>
      <c r="B107" s="13" t="s">
        <v>37</v>
      </c>
      <c r="C107" s="19"/>
      <c r="D107" s="19"/>
      <c r="E107" s="19"/>
      <c r="F107" s="19"/>
      <c r="G107" s="5">
        <v>41</v>
      </c>
      <c r="H107" s="30"/>
      <c r="I107" s="28"/>
      <c r="J107" s="28"/>
      <c r="K107" s="29"/>
      <c r="L107" s="69"/>
    </row>
    <row r="108" spans="1:12" s="21" customFormat="1" x14ac:dyDescent="0.3">
      <c r="A108" s="2" t="s">
        <v>79</v>
      </c>
      <c r="B108" s="12" t="s">
        <v>70</v>
      </c>
      <c r="C108" s="1"/>
      <c r="D108" s="1"/>
      <c r="E108" s="1"/>
      <c r="F108" s="1"/>
      <c r="G108" s="5">
        <v>42</v>
      </c>
      <c r="H108" s="30"/>
      <c r="I108" s="28"/>
      <c r="J108" s="28"/>
      <c r="K108" s="29"/>
      <c r="L108" s="72"/>
    </row>
    <row r="109" spans="1:12" s="21" customFormat="1" x14ac:dyDescent="0.3">
      <c r="A109" s="14">
        <v>1</v>
      </c>
      <c r="B109" s="11" t="s">
        <v>35</v>
      </c>
      <c r="C109" s="17"/>
      <c r="D109" s="17"/>
      <c r="E109" s="17"/>
      <c r="F109" s="17"/>
      <c r="G109" s="5">
        <v>43</v>
      </c>
      <c r="H109" s="30"/>
      <c r="I109" s="28"/>
      <c r="J109" s="28"/>
      <c r="K109" s="29"/>
      <c r="L109" s="69"/>
    </row>
    <row r="110" spans="1:12" s="21" customFormat="1" x14ac:dyDescent="0.3">
      <c r="A110" s="7">
        <v>2</v>
      </c>
      <c r="B110" s="6" t="s">
        <v>36</v>
      </c>
      <c r="C110" s="18"/>
      <c r="D110" s="18"/>
      <c r="E110" s="18"/>
      <c r="F110" s="18"/>
      <c r="G110" s="5">
        <v>44</v>
      </c>
      <c r="H110" s="30"/>
      <c r="I110" s="28"/>
      <c r="J110" s="28"/>
      <c r="K110" s="29"/>
      <c r="L110" s="69"/>
    </row>
    <row r="111" spans="1:12" s="21" customFormat="1" x14ac:dyDescent="0.3">
      <c r="A111" s="15">
        <v>3</v>
      </c>
      <c r="B111" s="13" t="s">
        <v>37</v>
      </c>
      <c r="C111" s="19"/>
      <c r="D111" s="19"/>
      <c r="E111" s="19"/>
      <c r="F111" s="19"/>
      <c r="G111" s="5">
        <v>45</v>
      </c>
      <c r="H111" s="30"/>
      <c r="I111" s="28"/>
      <c r="J111" s="28"/>
      <c r="K111" s="29"/>
      <c r="L111" s="69"/>
    </row>
    <row r="112" spans="1:12" s="21" customFormat="1" x14ac:dyDescent="0.3">
      <c r="A112" s="3" t="s">
        <v>80</v>
      </c>
      <c r="B112" s="12" t="s">
        <v>69</v>
      </c>
      <c r="C112" s="1"/>
      <c r="D112" s="1"/>
      <c r="E112" s="1"/>
      <c r="F112" s="1"/>
      <c r="G112" s="5">
        <v>46</v>
      </c>
      <c r="H112" s="30"/>
      <c r="I112" s="28"/>
      <c r="J112" s="28"/>
      <c r="K112" s="29"/>
      <c r="L112" s="72"/>
    </row>
    <row r="113" spans="1:12" s="21" customFormat="1" x14ac:dyDescent="0.3">
      <c r="A113" s="14">
        <v>1</v>
      </c>
      <c r="B113" s="11" t="s">
        <v>35</v>
      </c>
      <c r="C113" s="17"/>
      <c r="D113" s="17"/>
      <c r="E113" s="17"/>
      <c r="F113" s="17"/>
      <c r="G113" s="5">
        <v>47</v>
      </c>
      <c r="H113" s="30"/>
      <c r="I113" s="28"/>
      <c r="J113" s="28"/>
      <c r="K113" s="29"/>
      <c r="L113" s="69"/>
    </row>
    <row r="114" spans="1:12" s="21" customFormat="1" x14ac:dyDescent="0.3">
      <c r="A114" s="7">
        <v>2</v>
      </c>
      <c r="B114" s="6" t="s">
        <v>36</v>
      </c>
      <c r="C114" s="18"/>
      <c r="D114" s="18"/>
      <c r="E114" s="18"/>
      <c r="F114" s="18"/>
      <c r="G114" s="5">
        <v>48</v>
      </c>
      <c r="H114" s="30"/>
      <c r="I114" s="28"/>
      <c r="J114" s="28"/>
      <c r="K114" s="29"/>
      <c r="L114" s="69"/>
    </row>
    <row r="115" spans="1:12" s="21" customFormat="1" x14ac:dyDescent="0.3">
      <c r="A115" s="15">
        <v>3</v>
      </c>
      <c r="B115" s="13" t="s">
        <v>37</v>
      </c>
      <c r="C115" s="19"/>
      <c r="D115" s="19"/>
      <c r="E115" s="19"/>
      <c r="F115" s="19"/>
      <c r="G115" s="5">
        <v>49</v>
      </c>
      <c r="H115" s="30"/>
      <c r="I115" s="28"/>
      <c r="J115" s="28"/>
      <c r="K115" s="29"/>
      <c r="L115" s="69"/>
    </row>
    <row r="116" spans="1:12" s="21" customFormat="1" x14ac:dyDescent="0.3">
      <c r="A116" s="2" t="s">
        <v>81</v>
      </c>
      <c r="B116" s="12" t="s">
        <v>68</v>
      </c>
      <c r="C116" s="1"/>
      <c r="D116" s="1"/>
      <c r="E116" s="1"/>
      <c r="F116" s="1"/>
      <c r="G116" s="5">
        <v>50</v>
      </c>
      <c r="H116" s="30"/>
      <c r="I116" s="28"/>
      <c r="J116" s="28"/>
      <c r="K116" s="29"/>
      <c r="L116" s="72"/>
    </row>
    <row r="117" spans="1:12" s="21" customFormat="1" x14ac:dyDescent="0.3">
      <c r="A117" s="14">
        <v>1</v>
      </c>
      <c r="B117" s="11" t="s">
        <v>42</v>
      </c>
      <c r="C117" s="10"/>
      <c r="D117" s="10"/>
      <c r="E117" s="10"/>
      <c r="F117" s="10"/>
      <c r="G117" s="5">
        <v>51</v>
      </c>
      <c r="H117" s="30"/>
      <c r="I117" s="28"/>
      <c r="J117" s="28"/>
      <c r="K117" s="29"/>
      <c r="L117" s="5"/>
    </row>
    <row r="118" spans="1:12" s="21" customFormat="1" x14ac:dyDescent="0.3">
      <c r="A118" s="8">
        <v>2</v>
      </c>
      <c r="B118" s="83" t="s">
        <v>43</v>
      </c>
      <c r="C118" s="20"/>
      <c r="D118" s="20"/>
      <c r="E118" s="20"/>
      <c r="F118" s="20"/>
      <c r="G118" s="16">
        <v>52</v>
      </c>
      <c r="H118" s="34"/>
      <c r="I118" s="32"/>
      <c r="J118" s="32"/>
      <c r="K118" s="33"/>
      <c r="L118" s="70"/>
    </row>
    <row r="119" spans="1:12" s="21" customFormat="1" x14ac:dyDescent="0.3"/>
    <row r="120" spans="1:12" s="21" customFormat="1" x14ac:dyDescent="0.3"/>
    <row r="121" spans="1:12" s="21" customFormat="1" x14ac:dyDescent="0.3"/>
    <row r="122" spans="1:12" s="21" customFormat="1" ht="15" thickBot="1" x14ac:dyDescent="0.3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</row>
  </sheetData>
  <dataValidations count="1">
    <dataValidation type="list" allowBlank="1" showInputMessage="1" showErrorMessage="1" sqref="L3" xr:uid="{00000000-0002-0000-0000-000000000000}">
      <formula1>$P$2:$P$12</formula1>
    </dataValidation>
  </dataValidations>
  <pageMargins left="0.70866141732283505" right="0.70866141732283505" top="0.74803149606299202" bottom="0.74803149606299202" header="0.31496062992126" footer="0.31496062992126"/>
  <pageSetup paperSize="9" scale="41" orientation="portrait" r:id="rId1"/>
  <headerFooter>
    <oddFooter>&amp;L&amp;1#&amp;"Calibri"&amp;10&amp;K737373Hizmete Özel /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9CBB-B9BF-4EF8-AEF8-133025BCDE1B}">
  <sheetPr>
    <pageSetUpPr fitToPage="1"/>
  </sheetPr>
  <dimension ref="A1:P59"/>
  <sheetViews>
    <sheetView showGridLines="0" tabSelected="1" view="pageBreakPreview" zoomScale="70" zoomScaleNormal="70" zoomScaleSheetLayoutView="70" workbookViewId="0">
      <selection activeCell="B14" sqref="B14:E14"/>
    </sheetView>
  </sheetViews>
  <sheetFormatPr defaultRowHeight="14.4" x14ac:dyDescent="0.3"/>
  <cols>
    <col min="1" max="1" width="44.109375" customWidth="1"/>
    <col min="2" max="2" width="24.33203125" customWidth="1"/>
    <col min="3" max="3" width="34.88671875" customWidth="1"/>
    <col min="4" max="4" width="19.33203125" customWidth="1"/>
    <col min="5" max="5" width="32.5546875" customWidth="1"/>
    <col min="6" max="6" width="13.44140625" customWidth="1"/>
    <col min="7" max="7" width="11.33203125" customWidth="1"/>
    <col min="8" max="8" width="9.88671875" customWidth="1"/>
    <col min="9" max="9" width="10.6640625" customWidth="1"/>
    <col min="10" max="10" width="8.33203125" customWidth="1"/>
    <col min="11" max="11" width="40.33203125" customWidth="1"/>
    <col min="12" max="13" width="15.6640625" customWidth="1"/>
    <col min="14" max="14" width="47.5546875" customWidth="1"/>
    <col min="15" max="15" width="15.6640625" customWidth="1"/>
    <col min="20" max="20" width="15.44140625" bestFit="1" customWidth="1"/>
  </cols>
  <sheetData>
    <row r="1" spans="1:16" ht="15.6" customHeight="1" x14ac:dyDescent="0.3">
      <c r="A1" s="115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7"/>
      <c r="N1" s="108" t="s">
        <v>155</v>
      </c>
      <c r="O1" s="111" t="str">
        <f>MFiles_PG09C00E43AE09494E886C40EB5929CCE7</f>
        <v>TPR.PMM.FRM.0221</v>
      </c>
    </row>
    <row r="2" spans="1:16" ht="15.6" customHeight="1" x14ac:dyDescent="0.3">
      <c r="A2" s="118"/>
      <c r="M2" s="119"/>
      <c r="N2" s="109" t="s">
        <v>156</v>
      </c>
      <c r="O2" s="112" t="str">
        <f>MFiles_PGEAB2B9D9809E49A59FA64EA5C2802F8C</f>
        <v>7.03.2022</v>
      </c>
    </row>
    <row r="3" spans="1:16" s="21" customFormat="1" ht="24" customHeight="1" x14ac:dyDescent="0.3">
      <c r="A3" s="120"/>
      <c r="B3" s="40"/>
      <c r="C3" s="40"/>
      <c r="D3" s="180" t="s">
        <v>161</v>
      </c>
      <c r="E3" s="180"/>
      <c r="F3" s="180"/>
      <c r="G3" s="180"/>
      <c r="H3" s="180"/>
      <c r="I3" s="180"/>
      <c r="J3" s="180"/>
      <c r="K3" s="180"/>
      <c r="L3" s="180"/>
      <c r="M3" s="121"/>
      <c r="N3" s="109" t="s">
        <v>157</v>
      </c>
      <c r="O3" s="113">
        <f>MFiles_PG16D095758EE5432CA92ED83E32419223</f>
        <v>2</v>
      </c>
    </row>
    <row r="4" spans="1:16" s="21" customFormat="1" ht="15.6" customHeight="1" x14ac:dyDescent="0.3">
      <c r="A4" s="12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121"/>
      <c r="N4" s="109" t="s">
        <v>158</v>
      </c>
      <c r="O4" s="112" t="str">
        <f>MFiles_PGEBE14D95F1DE429090ED6A5DE36476DF</f>
        <v>6.01.2022</v>
      </c>
    </row>
    <row r="5" spans="1:16" s="21" customFormat="1" ht="15.6" customHeigh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10" t="s">
        <v>159</v>
      </c>
      <c r="O5" s="114" t="s">
        <v>160</v>
      </c>
    </row>
    <row r="6" spans="1:16" s="21" customFormat="1" x14ac:dyDescent="0.3">
      <c r="A6" s="78" t="s">
        <v>135</v>
      </c>
      <c r="B6" s="99">
        <v>1</v>
      </c>
      <c r="C6" s="48"/>
      <c r="D6" s="48"/>
      <c r="E6" s="48"/>
      <c r="F6" s="48"/>
      <c r="G6" s="48"/>
      <c r="H6" s="48"/>
      <c r="I6" s="48"/>
      <c r="J6" s="48"/>
      <c r="K6" s="48"/>
      <c r="L6" s="49"/>
      <c r="M6" s="49"/>
      <c r="N6" s="80" t="s">
        <v>127</v>
      </c>
      <c r="O6" s="97">
        <v>46174</v>
      </c>
    </row>
    <row r="7" spans="1:16" s="21" customFormat="1" x14ac:dyDescent="0.3">
      <c r="A7" s="79" t="s">
        <v>125</v>
      </c>
      <c r="B7" s="43" t="s">
        <v>182</v>
      </c>
      <c r="C7" s="42"/>
      <c r="D7" s="42"/>
      <c r="E7" s="42"/>
      <c r="F7" s="42"/>
      <c r="G7" s="42"/>
      <c r="H7" s="42"/>
      <c r="I7" s="42"/>
      <c r="J7" s="42"/>
      <c r="K7" s="42"/>
      <c r="L7" s="44"/>
      <c r="M7" s="44"/>
      <c r="N7" s="81" t="s">
        <v>128</v>
      </c>
      <c r="O7" s="74"/>
    </row>
    <row r="8" spans="1:16" s="21" customFormat="1" x14ac:dyDescent="0.3">
      <c r="A8" s="79" t="s">
        <v>126</v>
      </c>
      <c r="B8" s="43" t="s">
        <v>183</v>
      </c>
      <c r="C8" s="42"/>
      <c r="D8" s="42"/>
      <c r="E8" s="42"/>
      <c r="F8" s="42"/>
      <c r="G8" s="42"/>
      <c r="H8" s="42"/>
      <c r="I8" s="42"/>
      <c r="J8" s="42"/>
      <c r="K8" s="42"/>
      <c r="L8" s="44"/>
      <c r="M8" s="44"/>
      <c r="N8" s="81" t="s">
        <v>129</v>
      </c>
      <c r="O8" s="75">
        <v>26</v>
      </c>
      <c r="P8" s="22"/>
    </row>
    <row r="9" spans="1:16" s="21" customFormat="1" x14ac:dyDescent="0.3">
      <c r="A9" s="79" t="s">
        <v>153</v>
      </c>
      <c r="B9" s="98"/>
      <c r="C9" s="42"/>
      <c r="D9" s="42"/>
      <c r="E9" s="42"/>
      <c r="F9" s="42"/>
      <c r="G9" s="42"/>
      <c r="H9" s="42"/>
      <c r="I9" s="42"/>
      <c r="J9" s="42"/>
      <c r="K9" s="42"/>
      <c r="L9" s="44"/>
      <c r="M9" s="44"/>
      <c r="N9" s="81" t="s">
        <v>136</v>
      </c>
      <c r="O9" s="76">
        <v>0</v>
      </c>
    </row>
    <row r="10" spans="1:16" s="21" customFormat="1" x14ac:dyDescent="0.3">
      <c r="A10" s="95" t="s">
        <v>154</v>
      </c>
      <c r="B10" s="96"/>
      <c r="C10" s="45"/>
      <c r="D10" s="45"/>
      <c r="E10" s="45"/>
      <c r="F10" s="45"/>
      <c r="G10" s="45"/>
      <c r="H10" s="45"/>
      <c r="I10" s="45"/>
      <c r="J10" s="45"/>
      <c r="K10" s="45"/>
      <c r="L10" s="46"/>
      <c r="M10" s="46"/>
      <c r="N10" s="82" t="s">
        <v>143</v>
      </c>
      <c r="O10" s="77">
        <v>0</v>
      </c>
    </row>
    <row r="11" spans="1:16" s="21" customFormat="1" x14ac:dyDescent="0.3">
      <c r="A11" s="181" t="s">
        <v>177</v>
      </c>
      <c r="B11" s="182"/>
      <c r="C11" s="182"/>
      <c r="D11" s="182"/>
      <c r="E11" s="53"/>
      <c r="F11" s="53"/>
      <c r="G11" s="53"/>
      <c r="H11" s="53"/>
      <c r="I11" s="53"/>
      <c r="J11" s="90" t="s">
        <v>151</v>
      </c>
      <c r="K11" s="53"/>
      <c r="L11" s="53"/>
      <c r="M11" s="53"/>
      <c r="N11" s="53"/>
      <c r="O11" s="54"/>
    </row>
    <row r="12" spans="1:16" s="21" customFormat="1" x14ac:dyDescent="0.3">
      <c r="A12" s="56" t="s">
        <v>174</v>
      </c>
      <c r="B12" s="101" t="s">
        <v>148</v>
      </c>
      <c r="C12" s="105"/>
      <c r="D12" s="105"/>
      <c r="E12" s="105"/>
      <c r="F12" s="106" t="s">
        <v>147</v>
      </c>
      <c r="G12" s="125"/>
      <c r="H12" s="125"/>
      <c r="I12" s="125"/>
      <c r="J12" s="91" t="s">
        <v>174</v>
      </c>
      <c r="K12" s="101" t="s">
        <v>148</v>
      </c>
      <c r="L12" s="101"/>
      <c r="M12" s="101"/>
      <c r="N12" s="101"/>
      <c r="O12" s="102" t="s">
        <v>147</v>
      </c>
    </row>
    <row r="13" spans="1:16" s="21" customFormat="1" ht="64.5" customHeight="1" x14ac:dyDescent="0.3">
      <c r="A13" s="4" t="s">
        <v>162</v>
      </c>
      <c r="B13" s="183"/>
      <c r="C13" s="184"/>
      <c r="D13" s="184"/>
      <c r="E13" s="185"/>
      <c r="F13" s="186"/>
      <c r="G13" s="187"/>
      <c r="H13" s="187"/>
      <c r="I13" s="188"/>
      <c r="J13" s="92" t="s">
        <v>176</v>
      </c>
      <c r="K13" s="183"/>
      <c r="L13" s="184"/>
      <c r="M13" s="184"/>
      <c r="N13" s="185"/>
      <c r="O13" s="23"/>
    </row>
    <row r="14" spans="1:16" s="21" customFormat="1" ht="79.5" customHeight="1" x14ac:dyDescent="0.3">
      <c r="A14" s="9" t="s">
        <v>163</v>
      </c>
      <c r="B14" s="177"/>
      <c r="C14" s="178"/>
      <c r="D14" s="178"/>
      <c r="E14" s="179"/>
      <c r="F14" s="144"/>
      <c r="G14" s="174"/>
      <c r="H14" s="126"/>
      <c r="I14" s="126"/>
      <c r="J14" s="93" t="s">
        <v>175</v>
      </c>
      <c r="K14" s="177"/>
      <c r="L14" s="178"/>
      <c r="M14" s="178"/>
      <c r="N14" s="179"/>
      <c r="O14" s="27"/>
    </row>
    <row r="15" spans="1:16" s="21" customFormat="1" x14ac:dyDescent="0.3">
      <c r="A15" s="152"/>
      <c r="B15" s="153"/>
      <c r="C15" s="153"/>
      <c r="D15" s="153"/>
      <c r="E15" s="153"/>
      <c r="F15" s="153"/>
      <c r="G15" s="153"/>
      <c r="H15" s="153"/>
      <c r="I15" s="154"/>
      <c r="J15" s="90" t="s">
        <v>145</v>
      </c>
      <c r="K15" s="53"/>
      <c r="L15" s="53"/>
      <c r="M15" s="53"/>
      <c r="N15" s="53"/>
      <c r="O15" s="54"/>
    </row>
    <row r="16" spans="1:16" s="21" customFormat="1" x14ac:dyDescent="0.3">
      <c r="A16" s="155"/>
      <c r="B16" s="156"/>
      <c r="C16" s="156"/>
      <c r="D16" s="156"/>
      <c r="E16" s="156"/>
      <c r="F16" s="156"/>
      <c r="G16" s="156"/>
      <c r="H16" s="156"/>
      <c r="I16" s="157"/>
      <c r="J16" s="91" t="s">
        <v>174</v>
      </c>
      <c r="K16" s="101" t="s">
        <v>148</v>
      </c>
      <c r="L16" s="101"/>
      <c r="M16" s="101"/>
      <c r="N16" s="101"/>
      <c r="O16" s="102" t="s">
        <v>147</v>
      </c>
    </row>
    <row r="17" spans="1:15" s="21" customFormat="1" ht="48" customHeight="1" x14ac:dyDescent="0.3">
      <c r="A17" s="158"/>
      <c r="B17" s="159"/>
      <c r="C17" s="159"/>
      <c r="D17" s="159"/>
      <c r="E17" s="159"/>
      <c r="F17" s="159"/>
      <c r="G17" s="159"/>
      <c r="H17" s="159"/>
      <c r="I17" s="160"/>
      <c r="J17" s="92" t="s">
        <v>162</v>
      </c>
      <c r="K17" s="183"/>
      <c r="L17" s="184"/>
      <c r="M17" s="184"/>
      <c r="N17" s="185"/>
      <c r="O17" s="23"/>
    </row>
    <row r="18" spans="1:15" s="21" customFormat="1" ht="50.25" customHeight="1" x14ac:dyDescent="0.3">
      <c r="A18" s="161"/>
      <c r="B18" s="161"/>
      <c r="C18" s="161"/>
      <c r="D18" s="161"/>
      <c r="E18" s="161"/>
      <c r="F18" s="161"/>
      <c r="G18" s="161"/>
      <c r="H18" s="161"/>
      <c r="I18" s="162"/>
      <c r="J18" s="93" t="s">
        <v>163</v>
      </c>
      <c r="K18" s="183"/>
      <c r="L18" s="184"/>
      <c r="M18" s="184"/>
      <c r="N18" s="185"/>
      <c r="O18" s="27"/>
    </row>
    <row r="19" spans="1:15" s="21" customFormat="1" ht="39.75" hidden="1" customHeight="1" x14ac:dyDescent="0.3">
      <c r="A19" s="163"/>
      <c r="B19" s="163"/>
      <c r="C19" s="163"/>
      <c r="D19" s="163"/>
      <c r="E19" s="163"/>
      <c r="F19" s="163"/>
      <c r="G19" s="163"/>
      <c r="H19" s="163"/>
      <c r="I19" s="164"/>
      <c r="J19" s="93"/>
      <c r="K19" s="100"/>
      <c r="L19" s="28"/>
      <c r="M19" s="28"/>
      <c r="N19" s="29"/>
      <c r="O19" s="27"/>
    </row>
    <row r="20" spans="1:15" s="21" customFormat="1" ht="15" customHeight="1" x14ac:dyDescent="0.3">
      <c r="A20" s="165"/>
      <c r="B20" s="165"/>
      <c r="C20" s="165"/>
      <c r="D20" s="165"/>
      <c r="E20" s="165"/>
      <c r="F20" s="165"/>
      <c r="G20" s="165"/>
      <c r="H20" s="165"/>
      <c r="I20" s="165"/>
      <c r="J20" s="200" t="s">
        <v>152</v>
      </c>
      <c r="K20" s="201"/>
      <c r="L20" s="201"/>
      <c r="M20" s="201"/>
      <c r="N20" s="201"/>
      <c r="O20" s="202"/>
    </row>
    <row r="21" spans="1:15" s="21" customFormat="1" ht="23.25" customHeight="1" x14ac:dyDescent="0.3">
      <c r="A21" s="55" t="s">
        <v>119</v>
      </c>
      <c r="B21" s="203" t="s">
        <v>82</v>
      </c>
      <c r="C21" s="204"/>
      <c r="D21" s="203" t="s">
        <v>118</v>
      </c>
      <c r="E21" s="205"/>
      <c r="F21" s="206"/>
      <c r="G21" s="107"/>
      <c r="H21" s="107"/>
      <c r="I21" s="107"/>
      <c r="J21" s="91" t="s">
        <v>174</v>
      </c>
      <c r="K21" s="103" t="s">
        <v>178</v>
      </c>
      <c r="L21" s="103"/>
      <c r="M21" s="103"/>
      <c r="N21" s="103"/>
      <c r="O21" s="104" t="s">
        <v>147</v>
      </c>
    </row>
    <row r="22" spans="1:15" s="21" customFormat="1" ht="90" customHeight="1" x14ac:dyDescent="0.3">
      <c r="A22" s="207"/>
      <c r="B22" s="222" t="s">
        <v>165</v>
      </c>
      <c r="C22" s="222" t="s">
        <v>166</v>
      </c>
      <c r="D22" s="222" t="s">
        <v>167</v>
      </c>
      <c r="E22" s="222" t="s">
        <v>168</v>
      </c>
      <c r="F22" s="189" t="s">
        <v>169</v>
      </c>
      <c r="G22" s="190"/>
      <c r="H22" s="235" t="s">
        <v>170</v>
      </c>
      <c r="I22" s="236"/>
      <c r="J22" s="140" t="s">
        <v>162</v>
      </c>
      <c r="K22" s="183"/>
      <c r="L22" s="184"/>
      <c r="M22" s="184"/>
      <c r="N22" s="185"/>
      <c r="O22" s="94"/>
    </row>
    <row r="23" spans="1:15" s="21" customFormat="1" ht="37.5" customHeight="1" x14ac:dyDescent="0.3">
      <c r="A23" s="208"/>
      <c r="B23" s="223"/>
      <c r="C23" s="223"/>
      <c r="D23" s="223"/>
      <c r="E23" s="223"/>
      <c r="F23" s="127" t="s">
        <v>171</v>
      </c>
      <c r="G23" s="127" t="s">
        <v>172</v>
      </c>
      <c r="H23" s="128" t="s">
        <v>171</v>
      </c>
      <c r="I23" s="128" t="s">
        <v>172</v>
      </c>
      <c r="J23" s="238" t="s">
        <v>163</v>
      </c>
      <c r="K23" s="226"/>
      <c r="L23" s="227"/>
      <c r="M23" s="227"/>
      <c r="N23" s="228"/>
      <c r="O23" s="209"/>
    </row>
    <row r="24" spans="1:15" s="21" customFormat="1" ht="18.75" customHeight="1" x14ac:dyDescent="0.3">
      <c r="A24" s="148"/>
      <c r="B24" s="149"/>
      <c r="C24" s="149"/>
      <c r="D24" s="149"/>
      <c r="E24" s="149"/>
      <c r="F24" s="127"/>
      <c r="G24" s="127"/>
      <c r="H24" s="128"/>
      <c r="I24" s="128"/>
      <c r="J24" s="225"/>
      <c r="K24" s="229"/>
      <c r="L24" s="237"/>
      <c r="M24" s="237"/>
      <c r="N24" s="231"/>
      <c r="O24" s="210"/>
    </row>
    <row r="25" spans="1:15" x14ac:dyDescent="0.3">
      <c r="A25" s="171" t="s">
        <v>181</v>
      </c>
      <c r="B25" s="172"/>
      <c r="C25" s="172"/>
      <c r="D25" s="172"/>
      <c r="E25" s="172"/>
      <c r="F25" s="172"/>
      <c r="G25" s="172"/>
      <c r="H25" s="172"/>
      <c r="I25" s="173"/>
      <c r="J25" s="225"/>
      <c r="K25" s="229"/>
      <c r="L25" s="237"/>
      <c r="M25" s="237"/>
      <c r="N25" s="231"/>
      <c r="O25" s="210"/>
    </row>
    <row r="26" spans="1:15" s="21" customFormat="1" ht="15" customHeight="1" x14ac:dyDescent="0.3">
      <c r="J26" s="225"/>
      <c r="K26" s="229"/>
      <c r="L26" s="237"/>
      <c r="M26" s="237"/>
      <c r="N26" s="231"/>
      <c r="O26" s="210"/>
    </row>
    <row r="27" spans="1:15" s="21" customFormat="1" ht="15" customHeight="1" x14ac:dyDescent="0.3">
      <c r="A27" s="143"/>
      <c r="B27" s="166"/>
      <c r="C27" s="167"/>
      <c r="D27" s="167"/>
      <c r="E27" s="167"/>
      <c r="F27" s="167"/>
      <c r="G27" s="167"/>
      <c r="H27" s="167"/>
      <c r="I27" s="167"/>
      <c r="J27" s="239"/>
      <c r="K27" s="232"/>
      <c r="L27" s="233"/>
      <c r="M27" s="233"/>
      <c r="N27" s="234"/>
      <c r="O27" s="210"/>
    </row>
    <row r="28" spans="1:15" s="21" customFormat="1" ht="15" customHeight="1" x14ac:dyDescent="0.3">
      <c r="A28" s="143"/>
      <c r="B28" s="166"/>
      <c r="C28" s="167"/>
      <c r="D28" s="167"/>
      <c r="E28" s="167"/>
      <c r="F28" s="167"/>
      <c r="G28" s="167"/>
      <c r="H28" s="167"/>
      <c r="I28" s="167"/>
      <c r="J28" s="145"/>
      <c r="K28" s="53"/>
      <c r="L28" s="146"/>
      <c r="M28" s="146"/>
      <c r="N28" s="53"/>
      <c r="O28" s="210"/>
    </row>
    <row r="29" spans="1:15" s="21" customFormat="1" ht="15" customHeight="1" x14ac:dyDescent="0.3">
      <c r="A29" s="143"/>
      <c r="B29" s="166"/>
      <c r="C29" s="167"/>
      <c r="D29" s="167"/>
      <c r="E29" s="167"/>
      <c r="F29" s="167"/>
      <c r="G29" s="167"/>
      <c r="H29" s="167"/>
      <c r="I29" s="167"/>
      <c r="J29" s="145"/>
      <c r="K29" s="142"/>
      <c r="L29" s="141"/>
      <c r="M29" s="141"/>
      <c r="N29" s="141"/>
      <c r="O29" s="210"/>
    </row>
    <row r="30" spans="1:15" s="21" customFormat="1" ht="15" customHeight="1" x14ac:dyDescent="0.3">
      <c r="A30" s="143"/>
      <c r="B30" s="166"/>
      <c r="C30" s="167"/>
      <c r="D30" s="167"/>
      <c r="E30" s="167"/>
      <c r="F30" s="167"/>
      <c r="G30" s="167"/>
      <c r="H30" s="167"/>
      <c r="I30" s="167"/>
      <c r="J30" s="145"/>
      <c r="K30" s="142"/>
      <c r="L30" s="141"/>
      <c r="M30" s="141"/>
      <c r="N30" s="141"/>
      <c r="O30" s="210"/>
    </row>
    <row r="31" spans="1:15" s="21" customFormat="1" ht="15" customHeight="1" x14ac:dyDescent="0.3">
      <c r="A31" s="143"/>
      <c r="B31" s="166"/>
      <c r="C31" s="167"/>
      <c r="D31" s="167"/>
      <c r="E31" s="167"/>
      <c r="F31" s="167"/>
      <c r="G31" s="167"/>
      <c r="H31" s="167"/>
      <c r="I31" s="167"/>
      <c r="J31" s="169"/>
      <c r="K31" s="151"/>
      <c r="O31" s="168"/>
    </row>
    <row r="32" spans="1:15" s="21" customFormat="1" ht="15" customHeight="1" x14ac:dyDescent="0.3">
      <c r="A32" s="147"/>
      <c r="B32" s="166"/>
      <c r="C32" s="167"/>
      <c r="D32" s="167"/>
      <c r="E32" s="167"/>
      <c r="F32" s="167"/>
      <c r="G32" s="167"/>
      <c r="H32" s="167"/>
      <c r="I32" s="167"/>
      <c r="J32" s="169"/>
      <c r="K32" s="151"/>
      <c r="O32" s="168"/>
    </row>
    <row r="33" spans="1:15" s="21" customFormat="1" ht="15" customHeight="1" x14ac:dyDescent="0.3">
      <c r="A33" s="170"/>
      <c r="B33" s="166"/>
      <c r="C33" s="167"/>
      <c r="D33" s="167"/>
      <c r="E33" s="167"/>
      <c r="F33" s="167"/>
      <c r="G33" s="167"/>
      <c r="H33" s="167"/>
      <c r="I33" s="167"/>
      <c r="J33" s="169"/>
      <c r="K33" s="151"/>
      <c r="O33" s="168"/>
    </row>
    <row r="34" spans="1:15" s="21" customFormat="1" ht="15" customHeight="1" x14ac:dyDescent="0.3">
      <c r="A34" s="170"/>
      <c r="B34" s="166"/>
      <c r="C34" s="167"/>
      <c r="D34" s="167"/>
      <c r="E34" s="167"/>
      <c r="F34" s="167"/>
      <c r="G34" s="167"/>
      <c r="H34" s="167"/>
      <c r="I34" s="167"/>
      <c r="J34" s="169"/>
      <c r="K34" s="151"/>
      <c r="O34" s="168"/>
    </row>
    <row r="35" spans="1:15" s="21" customFormat="1" ht="15" customHeight="1" x14ac:dyDescent="0.3">
      <c r="A35" s="170"/>
      <c r="B35" s="166"/>
      <c r="C35" s="167"/>
      <c r="D35" s="167"/>
      <c r="E35" s="167"/>
      <c r="F35" s="167"/>
      <c r="G35" s="167"/>
      <c r="H35" s="167"/>
      <c r="I35" s="167"/>
      <c r="J35" s="169"/>
      <c r="K35" s="151"/>
      <c r="O35" s="168"/>
    </row>
    <row r="36" spans="1:15" s="21" customFormat="1" ht="15" customHeight="1" x14ac:dyDescent="0.3">
      <c r="A36" s="170"/>
      <c r="B36" s="166"/>
      <c r="C36" s="167"/>
      <c r="D36" s="167"/>
      <c r="E36" s="167"/>
      <c r="F36" s="167"/>
      <c r="G36" s="167"/>
      <c r="H36" s="167"/>
      <c r="I36" s="167"/>
      <c r="J36" s="169"/>
      <c r="K36" s="151"/>
      <c r="O36" s="168"/>
    </row>
    <row r="37" spans="1:15" s="21" customFormat="1" ht="15" customHeight="1" x14ac:dyDescent="0.3">
      <c r="A37" s="170"/>
      <c r="B37" s="166"/>
      <c r="C37" s="167"/>
      <c r="D37" s="167"/>
      <c r="E37" s="167"/>
      <c r="F37" s="167"/>
      <c r="G37" s="167"/>
      <c r="H37" s="167"/>
      <c r="I37" s="167"/>
      <c r="J37" s="169"/>
      <c r="K37" s="151"/>
      <c r="O37" s="168"/>
    </row>
    <row r="38" spans="1:15" s="21" customFormat="1" ht="15" customHeight="1" x14ac:dyDescent="0.3">
      <c r="A38" s="170"/>
      <c r="B38" s="166"/>
      <c r="C38" s="167"/>
      <c r="D38" s="167"/>
      <c r="E38" s="167"/>
      <c r="F38" s="167"/>
      <c r="G38" s="167"/>
      <c r="H38" s="167"/>
      <c r="I38" s="167"/>
      <c r="J38" s="169"/>
      <c r="K38" s="151"/>
      <c r="O38" s="168"/>
    </row>
    <row r="39" spans="1:15" s="21" customFormat="1" ht="15" customHeight="1" x14ac:dyDescent="0.3">
      <c r="A39" s="170"/>
      <c r="B39" s="166"/>
      <c r="C39" s="167"/>
      <c r="D39" s="167"/>
      <c r="E39" s="167"/>
      <c r="F39" s="167"/>
      <c r="G39" s="167"/>
      <c r="H39" s="167"/>
      <c r="I39" s="167"/>
      <c r="J39" s="169"/>
      <c r="K39" s="151"/>
      <c r="O39" s="168"/>
    </row>
    <row r="40" spans="1:15" s="21" customFormat="1" ht="15" customHeight="1" x14ac:dyDescent="0.3">
      <c r="A40" s="170"/>
      <c r="B40" s="166"/>
      <c r="C40" s="167"/>
      <c r="D40" s="167"/>
      <c r="E40" s="167"/>
      <c r="F40" s="167"/>
      <c r="G40" s="167"/>
      <c r="H40" s="167"/>
      <c r="I40" s="167"/>
      <c r="J40" s="169"/>
      <c r="K40" s="151"/>
      <c r="O40" s="168"/>
    </row>
    <row r="41" spans="1:15" s="21" customFormat="1" x14ac:dyDescent="0.3">
      <c r="A41" s="170"/>
      <c r="B41" s="166"/>
      <c r="C41" s="167"/>
      <c r="D41" s="167"/>
      <c r="E41" s="167"/>
      <c r="F41" s="167"/>
      <c r="G41" s="167"/>
      <c r="H41" s="167"/>
      <c r="I41" s="167"/>
      <c r="J41" s="150"/>
      <c r="K41" s="151"/>
      <c r="O41" s="168"/>
    </row>
    <row r="42" spans="1:15" s="21" customFormat="1" x14ac:dyDescent="0.3">
      <c r="A42" s="170"/>
      <c r="B42" s="166"/>
      <c r="C42" s="167"/>
      <c r="D42" s="167"/>
      <c r="E42" s="167"/>
      <c r="F42" s="167"/>
      <c r="G42" s="167"/>
      <c r="H42" s="167"/>
      <c r="I42" s="167"/>
      <c r="J42" s="150"/>
      <c r="K42" s="151"/>
      <c r="O42" s="168"/>
    </row>
    <row r="43" spans="1:15" s="21" customFormat="1" x14ac:dyDescent="0.3">
      <c r="A43" s="170"/>
      <c r="B43" s="166"/>
      <c r="C43" s="167"/>
      <c r="D43" s="167"/>
      <c r="E43" s="167"/>
      <c r="F43" s="167"/>
      <c r="G43" s="167"/>
      <c r="H43" s="167"/>
      <c r="I43" s="167"/>
      <c r="J43" s="150"/>
      <c r="K43" s="151"/>
      <c r="O43" s="168"/>
    </row>
    <row r="44" spans="1:15" s="21" customFormat="1" x14ac:dyDescent="0.3">
      <c r="A44" s="170"/>
      <c r="B44" s="166"/>
      <c r="C44" s="167"/>
      <c r="D44" s="167"/>
      <c r="E44" s="167"/>
      <c r="F44" s="167"/>
      <c r="G44" s="167"/>
      <c r="H44" s="167"/>
      <c r="I44" s="167"/>
      <c r="J44" s="150"/>
      <c r="K44" s="151"/>
      <c r="O44" s="168"/>
    </row>
    <row r="45" spans="1:15" s="21" customFormat="1" x14ac:dyDescent="0.3">
      <c r="A45" s="170"/>
      <c r="B45" s="166"/>
      <c r="C45" s="167"/>
      <c r="D45" s="167"/>
      <c r="E45" s="167"/>
      <c r="F45" s="167"/>
      <c r="G45" s="167"/>
      <c r="H45" s="167"/>
      <c r="I45" s="167"/>
      <c r="J45" s="150"/>
      <c r="K45" s="151"/>
      <c r="O45" s="168"/>
    </row>
    <row r="46" spans="1:15" s="21" customFormat="1" x14ac:dyDescent="0.3">
      <c r="A46" s="170"/>
      <c r="B46" s="166"/>
      <c r="C46" s="167"/>
      <c r="D46" s="167"/>
      <c r="E46" s="167"/>
      <c r="F46" s="167"/>
      <c r="G46" s="167"/>
      <c r="H46" s="167"/>
      <c r="I46" s="167"/>
      <c r="J46" s="150"/>
      <c r="K46" s="151"/>
      <c r="O46" s="168"/>
    </row>
    <row r="47" spans="1:15" s="21" customFormat="1" x14ac:dyDescent="0.3">
      <c r="A47" s="170"/>
      <c r="B47" s="166"/>
      <c r="C47" s="167"/>
      <c r="D47" s="167"/>
      <c r="E47" s="167"/>
      <c r="F47" s="167"/>
      <c r="G47" s="167"/>
      <c r="H47" s="167"/>
      <c r="I47" s="167"/>
      <c r="J47" s="150"/>
      <c r="K47" s="151"/>
      <c r="O47" s="168"/>
    </row>
    <row r="48" spans="1:15" s="21" customFormat="1" x14ac:dyDescent="0.25">
      <c r="A48" s="134" t="s">
        <v>173</v>
      </c>
      <c r="B48" s="135"/>
      <c r="C48" s="136"/>
      <c r="D48" s="136"/>
      <c r="E48" s="137"/>
      <c r="F48" s="136"/>
      <c r="G48" s="136"/>
      <c r="H48" s="138" t="e">
        <f>+#REF!/#REF!</f>
        <v>#REF!</v>
      </c>
      <c r="I48" s="139" t="e">
        <f>+#REF!/#REF!</f>
        <v>#REF!</v>
      </c>
      <c r="J48" s="150"/>
      <c r="K48" s="151"/>
      <c r="O48" s="168"/>
    </row>
    <row r="49" spans="1:9" x14ac:dyDescent="0.3">
      <c r="A49" s="65"/>
      <c r="B49" s="65"/>
      <c r="C49" s="216" t="s">
        <v>162</v>
      </c>
      <c r="D49" s="216"/>
      <c r="E49" s="191"/>
      <c r="F49" s="192"/>
      <c r="G49" s="192"/>
      <c r="H49" s="192"/>
      <c r="I49" s="217"/>
    </row>
    <row r="50" spans="1:9" x14ac:dyDescent="0.3">
      <c r="A50" s="175" t="s">
        <v>164</v>
      </c>
      <c r="B50" s="176"/>
      <c r="C50" s="216"/>
      <c r="D50" s="216"/>
      <c r="E50" s="194"/>
      <c r="F50" s="195"/>
      <c r="G50" s="195"/>
      <c r="H50" s="195"/>
      <c r="I50" s="218"/>
    </row>
    <row r="51" spans="1:9" x14ac:dyDescent="0.3">
      <c r="A51" s="214">
        <v>1</v>
      </c>
      <c r="B51" s="220" t="s">
        <v>180</v>
      </c>
      <c r="C51" s="216"/>
      <c r="D51" s="216"/>
      <c r="E51" s="194"/>
      <c r="F51" s="195"/>
      <c r="G51" s="195"/>
      <c r="H51" s="195"/>
      <c r="I51" s="218"/>
    </row>
    <row r="52" spans="1:9" x14ac:dyDescent="0.3">
      <c r="A52" s="215"/>
      <c r="B52" s="221"/>
      <c r="C52" s="216"/>
      <c r="D52" s="216"/>
      <c r="E52" s="194"/>
      <c r="F52" s="195"/>
      <c r="G52" s="195"/>
      <c r="H52" s="195"/>
      <c r="I52" s="218"/>
    </row>
    <row r="53" spans="1:9" x14ac:dyDescent="0.3">
      <c r="A53" s="214">
        <v>1</v>
      </c>
      <c r="B53" s="220" t="s">
        <v>180</v>
      </c>
      <c r="C53" s="216"/>
      <c r="D53" s="216"/>
      <c r="E53" s="197"/>
      <c r="F53" s="198"/>
      <c r="G53" s="198"/>
      <c r="H53" s="198"/>
      <c r="I53" s="219"/>
    </row>
    <row r="54" spans="1:9" x14ac:dyDescent="0.3">
      <c r="A54" s="215"/>
      <c r="B54" s="221"/>
      <c r="C54" s="216" t="s">
        <v>163</v>
      </c>
      <c r="D54" s="216"/>
      <c r="E54" s="191"/>
      <c r="F54" s="192"/>
      <c r="G54" s="192"/>
      <c r="H54" s="192"/>
      <c r="I54" s="217"/>
    </row>
    <row r="55" spans="1:9" ht="14.4" customHeight="1" x14ac:dyDescent="0.3">
      <c r="A55" s="214">
        <v>1</v>
      </c>
      <c r="B55" s="220" t="s">
        <v>180</v>
      </c>
      <c r="C55" s="216"/>
      <c r="D55" s="216"/>
      <c r="E55" s="194"/>
      <c r="F55" s="195"/>
      <c r="G55" s="195"/>
      <c r="H55" s="195"/>
      <c r="I55" s="218"/>
    </row>
    <row r="56" spans="1:9" x14ac:dyDescent="0.3">
      <c r="A56" s="215"/>
      <c r="B56" s="221"/>
      <c r="C56" s="216"/>
      <c r="D56" s="216"/>
      <c r="E56" s="194"/>
      <c r="F56" s="195"/>
      <c r="G56" s="195"/>
      <c r="H56" s="195"/>
      <c r="I56" s="218"/>
    </row>
    <row r="57" spans="1:9" ht="14.4" customHeight="1" x14ac:dyDescent="0.3">
      <c r="A57" s="214">
        <v>1</v>
      </c>
      <c r="B57" s="220" t="s">
        <v>180</v>
      </c>
      <c r="C57" s="216"/>
      <c r="D57" s="216"/>
      <c r="E57" s="194"/>
      <c r="F57" s="195"/>
      <c r="G57" s="195"/>
      <c r="H57" s="195"/>
      <c r="I57" s="218"/>
    </row>
    <row r="58" spans="1:9" x14ac:dyDescent="0.3">
      <c r="A58" s="215"/>
      <c r="B58" s="221"/>
      <c r="C58" s="216"/>
      <c r="D58" s="216"/>
      <c r="E58" s="197"/>
      <c r="F58" s="198"/>
      <c r="G58" s="198"/>
      <c r="H58" s="198"/>
      <c r="I58" s="219"/>
    </row>
    <row r="59" spans="1:9" x14ac:dyDescent="0.3">
      <c r="A59" s="211"/>
      <c r="B59" s="212"/>
      <c r="C59" s="212"/>
      <c r="D59" s="212"/>
      <c r="E59" s="212"/>
      <c r="F59" s="212"/>
      <c r="G59" s="212"/>
      <c r="H59" s="212"/>
      <c r="I59" s="213"/>
    </row>
  </sheetData>
  <mergeCells count="36">
    <mergeCell ref="A59:I59"/>
    <mergeCell ref="C54:D58"/>
    <mergeCell ref="E54:I58"/>
    <mergeCell ref="A55:A56"/>
    <mergeCell ref="B55:B56"/>
    <mergeCell ref="A57:A58"/>
    <mergeCell ref="B57:B58"/>
    <mergeCell ref="A53:A54"/>
    <mergeCell ref="B53:B54"/>
    <mergeCell ref="C49:D53"/>
    <mergeCell ref="E49:I53"/>
    <mergeCell ref="A51:A52"/>
    <mergeCell ref="B51:B52"/>
    <mergeCell ref="O23:O30"/>
    <mergeCell ref="K17:N17"/>
    <mergeCell ref="K18:N18"/>
    <mergeCell ref="J20:O20"/>
    <mergeCell ref="B21:C21"/>
    <mergeCell ref="D21:F21"/>
    <mergeCell ref="F22:G22"/>
    <mergeCell ref="H22:I22"/>
    <mergeCell ref="K22:N22"/>
    <mergeCell ref="J23:J27"/>
    <mergeCell ref="K23:N27"/>
    <mergeCell ref="A22:A23"/>
    <mergeCell ref="B22:B23"/>
    <mergeCell ref="C22:C23"/>
    <mergeCell ref="D22:D23"/>
    <mergeCell ref="E22:E23"/>
    <mergeCell ref="B14:E14"/>
    <mergeCell ref="K14:N14"/>
    <mergeCell ref="D3:L3"/>
    <mergeCell ref="A11:D11"/>
    <mergeCell ref="B13:E13"/>
    <mergeCell ref="F13:I13"/>
    <mergeCell ref="K13:N13"/>
  </mergeCells>
  <dataValidations disablePrompts="1" count="1">
    <dataValidation type="list" allowBlank="1" showInputMessage="1" showErrorMessage="1" sqref="O7" xr:uid="{29B5F0C4-6C5D-42C6-8365-DCFA066A638B}">
      <formula1>$Q$6:$Q$14</formula1>
    </dataValidation>
  </dataValidations>
  <pageMargins left="0.70866141732283505" right="0.70866141732283505" top="0.74803149606299202" bottom="0.74803149606299202" header="0.31496062992126" footer="0.31496062992126"/>
  <pageSetup paperSize="9" scale="25" orientation="portrait" r:id="rId1"/>
  <headerFooter>
    <oddFooter>&amp;L&amp;1#&amp;"Calibri"&amp;10&amp;K737373Hizmete Özel /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289A-BC45-4CCA-B9C6-AE829C90F1A6}">
  <sheetPr>
    <pageSetUpPr fitToPage="1"/>
  </sheetPr>
  <dimension ref="A1:P59"/>
  <sheetViews>
    <sheetView showGridLines="0" view="pageBreakPreview" zoomScale="70" zoomScaleNormal="70" zoomScaleSheetLayoutView="70" workbookViewId="0">
      <selection activeCell="J18" sqref="J18"/>
    </sheetView>
  </sheetViews>
  <sheetFormatPr defaultRowHeight="14.4" x14ac:dyDescent="0.3"/>
  <cols>
    <col min="1" max="1" width="44.109375" customWidth="1"/>
    <col min="2" max="2" width="24.33203125" customWidth="1"/>
    <col min="3" max="3" width="34.88671875" customWidth="1"/>
    <col min="4" max="4" width="19.33203125" customWidth="1"/>
    <col min="5" max="5" width="32.5546875" customWidth="1"/>
    <col min="6" max="6" width="13.44140625" customWidth="1"/>
    <col min="7" max="7" width="11.33203125" customWidth="1"/>
    <col min="8" max="8" width="9.88671875" customWidth="1"/>
    <col min="9" max="9" width="10.6640625" customWidth="1"/>
    <col min="10" max="10" width="8.33203125" customWidth="1"/>
    <col min="11" max="11" width="40.33203125" customWidth="1"/>
    <col min="12" max="13" width="15.6640625" customWidth="1"/>
    <col min="14" max="14" width="47.5546875" customWidth="1"/>
    <col min="15" max="15" width="15.6640625" customWidth="1"/>
    <col min="20" max="20" width="15.44140625" bestFit="1" customWidth="1"/>
  </cols>
  <sheetData>
    <row r="1" spans="1:16" ht="15.6" customHeight="1" x14ac:dyDescent="0.3">
      <c r="A1" s="115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7"/>
      <c r="N1" s="108" t="s">
        <v>155</v>
      </c>
      <c r="O1" s="111" t="str">
        <f>MFiles_PG09C00E43AE09494E886C40EB5929CCE7</f>
        <v>TPR.PMM.FRM.0221</v>
      </c>
    </row>
    <row r="2" spans="1:16" ht="15.6" customHeight="1" x14ac:dyDescent="0.3">
      <c r="A2" s="118"/>
      <c r="M2" s="119"/>
      <c r="N2" s="109" t="s">
        <v>156</v>
      </c>
      <c r="O2" s="112" t="str">
        <f>MFiles_PGEAB2B9D9809E49A59FA64EA5C2802F8C</f>
        <v>7.03.2022</v>
      </c>
    </row>
    <row r="3" spans="1:16" s="21" customFormat="1" ht="24" customHeight="1" x14ac:dyDescent="0.3">
      <c r="A3" s="120"/>
      <c r="B3" s="40"/>
      <c r="C3" s="40"/>
      <c r="D3" s="180" t="s">
        <v>161</v>
      </c>
      <c r="E3" s="180"/>
      <c r="F3" s="180"/>
      <c r="G3" s="180"/>
      <c r="H3" s="180"/>
      <c r="I3" s="180"/>
      <c r="J3" s="180"/>
      <c r="K3" s="180"/>
      <c r="L3" s="180"/>
      <c r="M3" s="121"/>
      <c r="N3" s="109" t="s">
        <v>157</v>
      </c>
      <c r="O3" s="113">
        <f>MFiles_PG16D095758EE5432CA92ED83E32419223</f>
        <v>2</v>
      </c>
    </row>
    <row r="4" spans="1:16" s="21" customFormat="1" ht="15.6" customHeight="1" x14ac:dyDescent="0.3">
      <c r="A4" s="12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121"/>
      <c r="N4" s="109" t="s">
        <v>158</v>
      </c>
      <c r="O4" s="112" t="str">
        <f>MFiles_PGEBE14D95F1DE429090ED6A5DE36476DF</f>
        <v>6.01.2022</v>
      </c>
    </row>
    <row r="5" spans="1:16" s="21" customFormat="1" ht="15.6" customHeigh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10" t="s">
        <v>159</v>
      </c>
      <c r="O5" s="114" t="s">
        <v>160</v>
      </c>
    </row>
    <row r="6" spans="1:16" s="21" customFormat="1" x14ac:dyDescent="0.3">
      <c r="A6" s="78" t="s">
        <v>135</v>
      </c>
      <c r="B6" s="99">
        <v>2</v>
      </c>
      <c r="C6" s="48"/>
      <c r="D6" s="48"/>
      <c r="E6" s="48"/>
      <c r="F6" s="48"/>
      <c r="G6" s="48"/>
      <c r="H6" s="48"/>
      <c r="I6" s="48"/>
      <c r="J6" s="48"/>
      <c r="K6" s="48"/>
      <c r="L6" s="49"/>
      <c r="M6" s="49"/>
      <c r="N6" s="80" t="s">
        <v>127</v>
      </c>
      <c r="O6" s="97">
        <v>46175</v>
      </c>
    </row>
    <row r="7" spans="1:16" s="21" customFormat="1" x14ac:dyDescent="0.3">
      <c r="A7" s="79" t="s">
        <v>125</v>
      </c>
      <c r="B7" s="43" t="s">
        <v>182</v>
      </c>
      <c r="C7" s="42"/>
      <c r="D7" s="42"/>
      <c r="E7" s="42"/>
      <c r="F7" s="42"/>
      <c r="G7" s="42"/>
      <c r="H7" s="42"/>
      <c r="I7" s="42"/>
      <c r="J7" s="42"/>
      <c r="K7" s="42"/>
      <c r="L7" s="44"/>
      <c r="M7" s="44"/>
      <c r="N7" s="81" t="s">
        <v>128</v>
      </c>
      <c r="O7" s="74"/>
    </row>
    <row r="8" spans="1:16" s="21" customFormat="1" x14ac:dyDescent="0.3">
      <c r="A8" s="79" t="s">
        <v>126</v>
      </c>
      <c r="B8" s="43" t="s">
        <v>183</v>
      </c>
      <c r="C8" s="42"/>
      <c r="D8" s="42"/>
      <c r="E8" s="42"/>
      <c r="F8" s="42"/>
      <c r="G8" s="42"/>
      <c r="H8" s="42"/>
      <c r="I8" s="42"/>
      <c r="J8" s="42"/>
      <c r="K8" s="42"/>
      <c r="L8" s="44"/>
      <c r="M8" s="44"/>
      <c r="N8" s="81" t="s">
        <v>129</v>
      </c>
      <c r="O8" s="75">
        <v>27</v>
      </c>
      <c r="P8" s="22"/>
    </row>
    <row r="9" spans="1:16" s="21" customFormat="1" x14ac:dyDescent="0.3">
      <c r="A9" s="79" t="s">
        <v>153</v>
      </c>
      <c r="B9" s="98"/>
      <c r="C9" s="42"/>
      <c r="D9" s="42"/>
      <c r="E9" s="42"/>
      <c r="F9" s="42"/>
      <c r="G9" s="42"/>
      <c r="H9" s="42"/>
      <c r="I9" s="42"/>
      <c r="J9" s="42"/>
      <c r="K9" s="42"/>
      <c r="L9" s="44"/>
      <c r="M9" s="44"/>
      <c r="N9" s="81" t="s">
        <v>136</v>
      </c>
      <c r="O9" s="76">
        <v>0</v>
      </c>
    </row>
    <row r="10" spans="1:16" s="21" customFormat="1" x14ac:dyDescent="0.3">
      <c r="A10" s="95" t="s">
        <v>154</v>
      </c>
      <c r="B10" s="96"/>
      <c r="C10" s="45"/>
      <c r="D10" s="45"/>
      <c r="E10" s="45"/>
      <c r="F10" s="45"/>
      <c r="G10" s="45"/>
      <c r="H10" s="45"/>
      <c r="I10" s="45"/>
      <c r="J10" s="45"/>
      <c r="K10" s="45"/>
      <c r="L10" s="46"/>
      <c r="M10" s="46"/>
      <c r="N10" s="82" t="s">
        <v>143</v>
      </c>
      <c r="O10" s="77">
        <v>0</v>
      </c>
    </row>
    <row r="11" spans="1:16" s="21" customFormat="1" x14ac:dyDescent="0.3">
      <c r="A11" s="181" t="s">
        <v>177</v>
      </c>
      <c r="B11" s="182"/>
      <c r="C11" s="182"/>
      <c r="D11" s="182"/>
      <c r="E11" s="53"/>
      <c r="F11" s="53"/>
      <c r="G11" s="53"/>
      <c r="H11" s="53"/>
      <c r="I11" s="53"/>
      <c r="J11" s="90" t="s">
        <v>151</v>
      </c>
      <c r="K11" s="53"/>
      <c r="L11" s="53"/>
      <c r="M11" s="53"/>
      <c r="N11" s="53"/>
      <c r="O11" s="54"/>
    </row>
    <row r="12" spans="1:16" s="21" customFormat="1" x14ac:dyDescent="0.3">
      <c r="A12" s="56" t="s">
        <v>174</v>
      </c>
      <c r="B12" s="101" t="s">
        <v>148</v>
      </c>
      <c r="C12" s="105"/>
      <c r="D12" s="105"/>
      <c r="E12" s="105"/>
      <c r="F12" s="106" t="s">
        <v>147</v>
      </c>
      <c r="G12" s="125"/>
      <c r="H12" s="125"/>
      <c r="I12" s="125"/>
      <c r="J12" s="91" t="s">
        <v>174</v>
      </c>
      <c r="K12" s="101" t="s">
        <v>148</v>
      </c>
      <c r="L12" s="101"/>
      <c r="M12" s="101"/>
      <c r="N12" s="101"/>
      <c r="O12" s="102" t="s">
        <v>147</v>
      </c>
    </row>
    <row r="13" spans="1:16" s="21" customFormat="1" ht="64.5" customHeight="1" x14ac:dyDescent="0.3">
      <c r="A13" s="4" t="s">
        <v>162</v>
      </c>
      <c r="B13" s="183"/>
      <c r="C13" s="184"/>
      <c r="D13" s="184"/>
      <c r="E13" s="185"/>
      <c r="F13" s="186"/>
      <c r="G13" s="187"/>
      <c r="H13" s="187"/>
      <c r="I13" s="188"/>
      <c r="J13" s="92" t="s">
        <v>176</v>
      </c>
      <c r="K13" s="183"/>
      <c r="L13" s="184"/>
      <c r="M13" s="184"/>
      <c r="N13" s="185"/>
      <c r="O13" s="23"/>
    </row>
    <row r="14" spans="1:16" s="21" customFormat="1" ht="79.5" customHeight="1" x14ac:dyDescent="0.3">
      <c r="A14" s="9" t="s">
        <v>163</v>
      </c>
      <c r="B14" s="177"/>
      <c r="C14" s="178"/>
      <c r="D14" s="178"/>
      <c r="E14" s="179"/>
      <c r="F14" s="144"/>
      <c r="G14" s="174"/>
      <c r="H14" s="126"/>
      <c r="I14" s="126"/>
      <c r="J14" s="93" t="s">
        <v>175</v>
      </c>
      <c r="K14" s="177"/>
      <c r="L14" s="178"/>
      <c r="M14" s="178"/>
      <c r="N14" s="179"/>
      <c r="O14" s="27"/>
    </row>
    <row r="15" spans="1:16" s="21" customFormat="1" x14ac:dyDescent="0.3">
      <c r="A15" s="191"/>
      <c r="B15" s="192"/>
      <c r="C15" s="192"/>
      <c r="D15" s="192"/>
      <c r="E15" s="192"/>
      <c r="F15" s="192"/>
      <c r="G15" s="192"/>
      <c r="H15" s="192"/>
      <c r="I15" s="193"/>
      <c r="J15" s="90" t="s">
        <v>145</v>
      </c>
      <c r="K15" s="53"/>
      <c r="L15" s="53"/>
      <c r="M15" s="53"/>
      <c r="N15" s="53"/>
      <c r="O15" s="54"/>
    </row>
    <row r="16" spans="1:16" s="21" customFormat="1" x14ac:dyDescent="0.3">
      <c r="A16" s="194"/>
      <c r="B16" s="195"/>
      <c r="C16" s="195"/>
      <c r="D16" s="195"/>
      <c r="E16" s="195"/>
      <c r="F16" s="195"/>
      <c r="G16" s="195"/>
      <c r="H16" s="195"/>
      <c r="I16" s="196"/>
      <c r="J16" s="91" t="s">
        <v>174</v>
      </c>
      <c r="K16" s="101" t="s">
        <v>148</v>
      </c>
      <c r="L16" s="101"/>
      <c r="M16" s="101"/>
      <c r="N16" s="101"/>
      <c r="O16" s="102" t="s">
        <v>147</v>
      </c>
    </row>
    <row r="17" spans="1:15" s="21" customFormat="1" ht="48" customHeight="1" x14ac:dyDescent="0.3">
      <c r="A17" s="197"/>
      <c r="B17" s="198"/>
      <c r="C17" s="198"/>
      <c r="D17" s="198"/>
      <c r="E17" s="198"/>
      <c r="F17" s="198"/>
      <c r="G17" s="198"/>
      <c r="H17" s="198"/>
      <c r="I17" s="199"/>
      <c r="J17" s="92" t="s">
        <v>162</v>
      </c>
      <c r="K17" s="183"/>
      <c r="L17" s="184"/>
      <c r="M17" s="184"/>
      <c r="N17" s="185"/>
      <c r="O17" s="23"/>
    </row>
    <row r="18" spans="1:15" s="21" customFormat="1" ht="50.25" customHeight="1" x14ac:dyDescent="0.3">
      <c r="A18" s="161"/>
      <c r="B18" s="161"/>
      <c r="C18" s="161"/>
      <c r="D18" s="161"/>
      <c r="E18" s="161"/>
      <c r="F18" s="161"/>
      <c r="G18" s="161"/>
      <c r="H18" s="161"/>
      <c r="I18" s="162"/>
      <c r="J18" s="93" t="s">
        <v>163</v>
      </c>
      <c r="K18" s="183"/>
      <c r="L18" s="184"/>
      <c r="M18" s="184"/>
      <c r="N18" s="185"/>
      <c r="O18" s="27"/>
    </row>
    <row r="19" spans="1:15" s="21" customFormat="1" ht="39.75" hidden="1" customHeight="1" x14ac:dyDescent="0.3">
      <c r="A19" s="163"/>
      <c r="B19" s="163"/>
      <c r="C19" s="163"/>
      <c r="D19" s="163"/>
      <c r="E19" s="163"/>
      <c r="F19" s="163"/>
      <c r="G19" s="163"/>
      <c r="H19" s="163"/>
      <c r="I19" s="164"/>
      <c r="J19" s="93"/>
      <c r="K19" s="100"/>
      <c r="L19" s="28"/>
      <c r="M19" s="28"/>
      <c r="N19" s="29"/>
      <c r="O19" s="27"/>
    </row>
    <row r="20" spans="1:15" s="21" customFormat="1" ht="15" customHeight="1" x14ac:dyDescent="0.3">
      <c r="A20" s="165"/>
      <c r="B20" s="165"/>
      <c r="C20" s="165"/>
      <c r="D20" s="165"/>
      <c r="E20" s="165"/>
      <c r="F20" s="165"/>
      <c r="G20" s="165"/>
      <c r="H20" s="165"/>
      <c r="I20" s="165"/>
      <c r="J20" s="200" t="s">
        <v>152</v>
      </c>
      <c r="K20" s="201"/>
      <c r="L20" s="201"/>
      <c r="M20" s="201"/>
      <c r="N20" s="201"/>
      <c r="O20" s="202"/>
    </row>
    <row r="21" spans="1:15" s="21" customFormat="1" ht="23.25" customHeight="1" x14ac:dyDescent="0.3">
      <c r="A21" s="55" t="s">
        <v>119</v>
      </c>
      <c r="B21" s="203" t="s">
        <v>82</v>
      </c>
      <c r="C21" s="204"/>
      <c r="D21" s="203" t="s">
        <v>118</v>
      </c>
      <c r="E21" s="205"/>
      <c r="F21" s="206"/>
      <c r="G21" s="107"/>
      <c r="H21" s="107"/>
      <c r="I21" s="107"/>
      <c r="J21" s="91" t="s">
        <v>174</v>
      </c>
      <c r="K21" s="103" t="s">
        <v>178</v>
      </c>
      <c r="L21" s="103"/>
      <c r="M21" s="103"/>
      <c r="N21" s="103"/>
      <c r="O21" s="104" t="s">
        <v>147</v>
      </c>
    </row>
    <row r="22" spans="1:15" s="21" customFormat="1" ht="90" customHeight="1" x14ac:dyDescent="0.3">
      <c r="A22" s="207"/>
      <c r="B22" s="222" t="s">
        <v>165</v>
      </c>
      <c r="C22" s="222" t="s">
        <v>166</v>
      </c>
      <c r="D22" s="222" t="s">
        <v>167</v>
      </c>
      <c r="E22" s="222" t="s">
        <v>168</v>
      </c>
      <c r="F22" s="189" t="s">
        <v>169</v>
      </c>
      <c r="G22" s="190"/>
      <c r="H22" s="235" t="s">
        <v>170</v>
      </c>
      <c r="I22" s="236"/>
      <c r="J22" s="140" t="s">
        <v>162</v>
      </c>
      <c r="K22" s="183"/>
      <c r="L22" s="184"/>
      <c r="M22" s="184"/>
      <c r="N22" s="185"/>
      <c r="O22" s="94"/>
    </row>
    <row r="23" spans="1:15" s="21" customFormat="1" ht="37.5" customHeight="1" x14ac:dyDescent="0.3">
      <c r="A23" s="208"/>
      <c r="B23" s="223"/>
      <c r="C23" s="223"/>
      <c r="D23" s="223"/>
      <c r="E23" s="223"/>
      <c r="F23" s="127" t="s">
        <v>171</v>
      </c>
      <c r="G23" s="127" t="s">
        <v>172</v>
      </c>
      <c r="H23" s="128" t="s">
        <v>171</v>
      </c>
      <c r="I23" s="128" t="s">
        <v>172</v>
      </c>
      <c r="J23" s="224" t="s">
        <v>163</v>
      </c>
      <c r="K23" s="226"/>
      <c r="L23" s="227"/>
      <c r="M23" s="227"/>
      <c r="N23" s="228"/>
      <c r="O23" s="209"/>
    </row>
    <row r="24" spans="1:15" s="21" customFormat="1" ht="18.75" customHeight="1" x14ac:dyDescent="0.3">
      <c r="A24" s="148"/>
      <c r="B24" s="149"/>
      <c r="C24" s="149"/>
      <c r="D24" s="149"/>
      <c r="E24" s="149"/>
      <c r="F24" s="127"/>
      <c r="G24" s="127"/>
      <c r="H24" s="128"/>
      <c r="I24" s="128"/>
      <c r="J24" s="225"/>
      <c r="K24" s="229"/>
      <c r="L24" s="230"/>
      <c r="M24" s="230"/>
      <c r="N24" s="231"/>
      <c r="O24" s="210"/>
    </row>
    <row r="25" spans="1:15" x14ac:dyDescent="0.3">
      <c r="A25" s="171"/>
      <c r="B25" s="172"/>
      <c r="C25" s="172"/>
      <c r="D25" s="172"/>
      <c r="E25" s="172"/>
      <c r="F25" s="172"/>
      <c r="G25" s="172"/>
      <c r="H25" s="172"/>
      <c r="I25" s="173"/>
      <c r="J25" s="225"/>
      <c r="K25" s="229"/>
      <c r="L25" s="230"/>
      <c r="M25" s="230"/>
      <c r="N25" s="231"/>
      <c r="O25" s="210"/>
    </row>
    <row r="26" spans="1:15" s="21" customFormat="1" ht="15" customHeight="1" x14ac:dyDescent="0.3">
      <c r="A26" s="143"/>
      <c r="B26" s="166"/>
      <c r="C26" s="167"/>
      <c r="D26" s="167"/>
      <c r="E26" s="167"/>
      <c r="F26" s="167"/>
      <c r="G26" s="167"/>
      <c r="H26" s="167"/>
      <c r="I26" s="167"/>
      <c r="J26" s="225"/>
      <c r="K26" s="229"/>
      <c r="L26" s="230"/>
      <c r="M26" s="230"/>
      <c r="N26" s="231"/>
      <c r="O26" s="210"/>
    </row>
    <row r="27" spans="1:15" s="21" customFormat="1" ht="15" customHeight="1" x14ac:dyDescent="0.3">
      <c r="A27" s="143"/>
      <c r="B27" s="166"/>
      <c r="C27" s="167"/>
      <c r="D27" s="167"/>
      <c r="E27" s="167"/>
      <c r="F27" s="167"/>
      <c r="G27" s="167"/>
      <c r="H27" s="167"/>
      <c r="I27" s="167"/>
      <c r="J27" s="225"/>
      <c r="K27" s="232"/>
      <c r="L27" s="233"/>
      <c r="M27" s="233"/>
      <c r="N27" s="234"/>
      <c r="O27" s="210"/>
    </row>
    <row r="28" spans="1:15" s="21" customFormat="1" ht="15" customHeight="1" x14ac:dyDescent="0.3">
      <c r="A28" s="143"/>
      <c r="B28" s="166"/>
      <c r="C28" s="167"/>
      <c r="D28" s="167"/>
      <c r="E28" s="167"/>
      <c r="F28" s="167"/>
      <c r="G28" s="167"/>
      <c r="H28" s="167"/>
      <c r="I28" s="167"/>
      <c r="J28" s="145"/>
      <c r="K28" s="53"/>
      <c r="L28" s="146"/>
      <c r="M28" s="146"/>
      <c r="N28" s="53"/>
      <c r="O28" s="210"/>
    </row>
    <row r="29" spans="1:15" s="21" customFormat="1" ht="15" customHeight="1" x14ac:dyDescent="0.3">
      <c r="A29" s="143"/>
      <c r="B29" s="166"/>
      <c r="C29" s="167"/>
      <c r="D29" s="167"/>
      <c r="E29" s="167"/>
      <c r="F29" s="167"/>
      <c r="G29" s="167"/>
      <c r="H29" s="167"/>
      <c r="I29" s="167"/>
      <c r="J29" s="145"/>
      <c r="K29" s="142"/>
      <c r="L29" s="141"/>
      <c r="M29" s="141"/>
      <c r="N29" s="141"/>
      <c r="O29" s="210"/>
    </row>
    <row r="30" spans="1:15" s="21" customFormat="1" ht="15" customHeight="1" x14ac:dyDescent="0.3">
      <c r="A30" s="143"/>
      <c r="B30" s="166"/>
      <c r="C30" s="167"/>
      <c r="D30" s="167"/>
      <c r="E30" s="167"/>
      <c r="F30" s="167"/>
      <c r="G30" s="167"/>
      <c r="H30" s="167"/>
      <c r="I30" s="167"/>
      <c r="J30" s="145"/>
      <c r="K30" s="142"/>
      <c r="L30" s="141"/>
      <c r="M30" s="141"/>
      <c r="N30" s="141"/>
      <c r="O30" s="210"/>
    </row>
    <row r="31" spans="1:15" s="21" customFormat="1" ht="15" customHeight="1" x14ac:dyDescent="0.3">
      <c r="A31" s="147"/>
      <c r="B31" s="166"/>
      <c r="C31" s="167"/>
      <c r="D31" s="167"/>
      <c r="E31" s="167"/>
      <c r="F31" s="167"/>
      <c r="G31" s="167"/>
      <c r="H31" s="167"/>
      <c r="I31" s="167"/>
      <c r="J31" s="169"/>
      <c r="K31" s="151"/>
      <c r="O31" s="168"/>
    </row>
    <row r="32" spans="1:15" s="21" customFormat="1" ht="15" customHeight="1" x14ac:dyDescent="0.3">
      <c r="A32" s="170"/>
      <c r="B32" s="166"/>
      <c r="C32" s="167"/>
      <c r="D32" s="167"/>
      <c r="E32" s="167"/>
      <c r="F32" s="167"/>
      <c r="G32" s="167"/>
      <c r="H32" s="167"/>
      <c r="I32" s="167"/>
      <c r="J32" s="169"/>
      <c r="K32" s="151"/>
      <c r="O32" s="168"/>
    </row>
    <row r="33" spans="1:15" s="21" customFormat="1" ht="15" customHeight="1" x14ac:dyDescent="0.3">
      <c r="A33" s="170"/>
      <c r="B33" s="166"/>
      <c r="C33" s="167"/>
      <c r="D33" s="167"/>
      <c r="E33" s="167"/>
      <c r="F33" s="167"/>
      <c r="G33" s="167"/>
      <c r="H33" s="167"/>
      <c r="I33" s="167"/>
      <c r="J33" s="169"/>
      <c r="K33" s="151"/>
      <c r="O33" s="168"/>
    </row>
    <row r="34" spans="1:15" s="21" customFormat="1" ht="15" customHeight="1" x14ac:dyDescent="0.3">
      <c r="A34" s="170"/>
      <c r="B34" s="166"/>
      <c r="C34" s="167"/>
      <c r="D34" s="167"/>
      <c r="E34" s="167"/>
      <c r="F34" s="167"/>
      <c r="G34" s="167"/>
      <c r="H34" s="167"/>
      <c r="I34" s="167"/>
      <c r="J34" s="169"/>
      <c r="K34" s="151"/>
      <c r="O34" s="168"/>
    </row>
    <row r="35" spans="1:15" s="21" customFormat="1" ht="15" customHeight="1" x14ac:dyDescent="0.3">
      <c r="A35" s="170"/>
      <c r="B35" s="166"/>
      <c r="C35" s="167"/>
      <c r="D35" s="167"/>
      <c r="E35" s="167"/>
      <c r="F35" s="167"/>
      <c r="G35" s="167"/>
      <c r="H35" s="167"/>
      <c r="I35" s="167"/>
      <c r="J35" s="169"/>
      <c r="K35" s="151"/>
      <c r="O35" s="168"/>
    </row>
    <row r="36" spans="1:15" s="21" customFormat="1" ht="15" customHeight="1" x14ac:dyDescent="0.3">
      <c r="A36" s="170"/>
      <c r="B36" s="166"/>
      <c r="C36" s="167"/>
      <c r="D36" s="167"/>
      <c r="E36" s="167"/>
      <c r="F36" s="167"/>
      <c r="G36" s="167"/>
      <c r="H36" s="167"/>
      <c r="I36" s="167"/>
      <c r="J36" s="169"/>
      <c r="K36" s="151"/>
      <c r="O36" s="168"/>
    </row>
    <row r="37" spans="1:15" s="21" customFormat="1" ht="15" customHeight="1" x14ac:dyDescent="0.3">
      <c r="A37" s="170"/>
      <c r="B37" s="166"/>
      <c r="C37" s="167"/>
      <c r="D37" s="167"/>
      <c r="E37" s="167"/>
      <c r="F37" s="167"/>
      <c r="G37" s="167"/>
      <c r="H37" s="167"/>
      <c r="I37" s="167"/>
      <c r="J37" s="169"/>
      <c r="K37" s="151"/>
      <c r="O37" s="168"/>
    </row>
    <row r="38" spans="1:15" s="21" customFormat="1" ht="15" customHeight="1" x14ac:dyDescent="0.3">
      <c r="A38" s="170"/>
      <c r="B38" s="166"/>
      <c r="C38" s="167"/>
      <c r="D38" s="167"/>
      <c r="E38" s="167"/>
      <c r="F38" s="167"/>
      <c r="G38" s="167"/>
      <c r="H38" s="167"/>
      <c r="I38" s="167"/>
      <c r="J38" s="169"/>
      <c r="K38" s="151"/>
      <c r="O38" s="168"/>
    </row>
    <row r="39" spans="1:15" s="21" customFormat="1" ht="15" customHeight="1" x14ac:dyDescent="0.3">
      <c r="A39" s="170"/>
      <c r="B39" s="166"/>
      <c r="C39" s="167"/>
      <c r="D39" s="167"/>
      <c r="E39" s="167"/>
      <c r="F39" s="167"/>
      <c r="G39" s="167"/>
      <c r="H39" s="167"/>
      <c r="I39" s="167"/>
      <c r="J39" s="169"/>
      <c r="K39" s="151"/>
      <c r="O39" s="168"/>
    </row>
    <row r="40" spans="1:15" s="21" customFormat="1" ht="15" customHeight="1" x14ac:dyDescent="0.3">
      <c r="A40" s="170"/>
      <c r="B40" s="166"/>
      <c r="C40" s="167"/>
      <c r="D40" s="167"/>
      <c r="E40" s="167"/>
      <c r="F40" s="167"/>
      <c r="G40" s="167"/>
      <c r="H40" s="167"/>
      <c r="I40" s="167"/>
      <c r="J40" s="169"/>
      <c r="K40" s="151"/>
      <c r="O40" s="168"/>
    </row>
    <row r="41" spans="1:15" s="21" customFormat="1" x14ac:dyDescent="0.3">
      <c r="A41" s="170"/>
      <c r="B41" s="166"/>
      <c r="C41" s="167"/>
      <c r="D41" s="167"/>
      <c r="E41" s="167"/>
      <c r="F41" s="167"/>
      <c r="G41" s="167"/>
      <c r="H41" s="167"/>
      <c r="I41" s="167"/>
      <c r="J41" s="150"/>
      <c r="K41" s="151"/>
      <c r="O41" s="168"/>
    </row>
    <row r="42" spans="1:15" s="21" customFormat="1" x14ac:dyDescent="0.3">
      <c r="A42" s="170"/>
      <c r="B42" s="166"/>
      <c r="C42" s="167"/>
      <c r="D42" s="167"/>
      <c r="E42" s="167"/>
      <c r="F42" s="167"/>
      <c r="G42" s="167"/>
      <c r="H42" s="167"/>
      <c r="I42" s="167"/>
      <c r="J42" s="150"/>
      <c r="K42" s="151"/>
      <c r="O42" s="168"/>
    </row>
    <row r="43" spans="1:15" s="21" customFormat="1" x14ac:dyDescent="0.3">
      <c r="A43" s="170"/>
      <c r="B43" s="166"/>
      <c r="C43" s="167"/>
      <c r="D43" s="167"/>
      <c r="E43" s="167"/>
      <c r="F43" s="167"/>
      <c r="G43" s="167"/>
      <c r="H43" s="167"/>
      <c r="I43" s="167"/>
      <c r="J43" s="150"/>
      <c r="K43" s="151"/>
      <c r="O43" s="168"/>
    </row>
    <row r="44" spans="1:15" s="21" customFormat="1" x14ac:dyDescent="0.3">
      <c r="A44" s="170"/>
      <c r="B44" s="166"/>
      <c r="C44" s="167"/>
      <c r="D44" s="167"/>
      <c r="E44" s="167"/>
      <c r="F44" s="167"/>
      <c r="G44" s="167"/>
      <c r="H44" s="167"/>
      <c r="I44" s="167"/>
      <c r="J44" s="150"/>
      <c r="K44" s="151"/>
      <c r="O44" s="168"/>
    </row>
    <row r="45" spans="1:15" s="21" customFormat="1" x14ac:dyDescent="0.3">
      <c r="A45" s="170"/>
      <c r="B45" s="166"/>
      <c r="C45" s="167"/>
      <c r="D45" s="167"/>
      <c r="E45" s="167"/>
      <c r="F45" s="167"/>
      <c r="G45" s="167"/>
      <c r="H45" s="167"/>
      <c r="I45" s="167"/>
      <c r="J45" s="150"/>
      <c r="K45" s="151"/>
      <c r="O45" s="168"/>
    </row>
    <row r="46" spans="1:15" s="21" customFormat="1" x14ac:dyDescent="0.3">
      <c r="A46" s="170"/>
      <c r="B46" s="166"/>
      <c r="C46" s="167"/>
      <c r="D46" s="167"/>
      <c r="E46" s="167"/>
      <c r="F46" s="167"/>
      <c r="G46" s="167"/>
      <c r="H46" s="167"/>
      <c r="I46" s="167"/>
      <c r="J46" s="150"/>
      <c r="K46" s="151"/>
      <c r="O46" s="168"/>
    </row>
    <row r="47" spans="1:15" s="21" customFormat="1" x14ac:dyDescent="0.25">
      <c r="A47" s="129"/>
      <c r="B47" s="130"/>
      <c r="C47" s="131"/>
      <c r="D47" s="131"/>
      <c r="E47" s="132"/>
      <c r="F47" s="131"/>
      <c r="G47" s="131"/>
      <c r="H47" s="132"/>
      <c r="I47" s="133"/>
      <c r="J47" s="150"/>
      <c r="K47" s="151"/>
      <c r="O47" s="168"/>
    </row>
    <row r="48" spans="1:15" s="21" customFormat="1" x14ac:dyDescent="0.25">
      <c r="A48" s="134"/>
      <c r="B48" s="135"/>
      <c r="C48" s="136"/>
      <c r="D48" s="136"/>
      <c r="E48" s="137"/>
      <c r="F48" s="136"/>
      <c r="G48" s="136"/>
      <c r="H48" s="138"/>
      <c r="I48" s="139"/>
      <c r="J48" s="150"/>
      <c r="K48" s="151"/>
      <c r="O48" s="168"/>
    </row>
    <row r="49" spans="1:9" x14ac:dyDescent="0.3">
      <c r="A49" s="65"/>
      <c r="B49" s="65"/>
      <c r="C49" s="216" t="s">
        <v>162</v>
      </c>
      <c r="D49" s="216"/>
      <c r="E49" s="191" t="s">
        <v>179</v>
      </c>
      <c r="F49" s="192"/>
      <c r="G49" s="192"/>
      <c r="H49" s="192"/>
      <c r="I49" s="217"/>
    </row>
    <row r="50" spans="1:9" x14ac:dyDescent="0.3">
      <c r="A50" s="175" t="s">
        <v>164</v>
      </c>
      <c r="B50" s="176"/>
      <c r="C50" s="216"/>
      <c r="D50" s="216"/>
      <c r="E50" s="194"/>
      <c r="F50" s="195"/>
      <c r="G50" s="195"/>
      <c r="H50" s="195"/>
      <c r="I50" s="218"/>
    </row>
    <row r="51" spans="1:9" x14ac:dyDescent="0.3">
      <c r="A51" s="214">
        <v>1</v>
      </c>
      <c r="B51" s="220" t="s">
        <v>180</v>
      </c>
      <c r="C51" s="216"/>
      <c r="D51" s="216"/>
      <c r="E51" s="194"/>
      <c r="F51" s="195"/>
      <c r="G51" s="195"/>
      <c r="H51" s="195"/>
      <c r="I51" s="218"/>
    </row>
    <row r="52" spans="1:9" x14ac:dyDescent="0.3">
      <c r="A52" s="215"/>
      <c r="B52" s="221"/>
      <c r="C52" s="216"/>
      <c r="D52" s="216"/>
      <c r="E52" s="194"/>
      <c r="F52" s="195"/>
      <c r="G52" s="195"/>
      <c r="H52" s="195"/>
      <c r="I52" s="218"/>
    </row>
    <row r="53" spans="1:9" x14ac:dyDescent="0.3">
      <c r="A53" s="214">
        <v>1</v>
      </c>
      <c r="B53" s="220" t="s">
        <v>180</v>
      </c>
      <c r="C53" s="216"/>
      <c r="D53" s="216"/>
      <c r="E53" s="197"/>
      <c r="F53" s="198"/>
      <c r="G53" s="198"/>
      <c r="H53" s="198"/>
      <c r="I53" s="219"/>
    </row>
    <row r="54" spans="1:9" x14ac:dyDescent="0.3">
      <c r="A54" s="215"/>
      <c r="B54" s="221"/>
      <c r="C54" s="216" t="s">
        <v>163</v>
      </c>
      <c r="D54" s="216"/>
      <c r="E54" s="191" t="s">
        <v>179</v>
      </c>
      <c r="F54" s="192"/>
      <c r="G54" s="192"/>
      <c r="H54" s="192"/>
      <c r="I54" s="217"/>
    </row>
    <row r="55" spans="1:9" ht="14.4" customHeight="1" x14ac:dyDescent="0.3">
      <c r="A55" s="214">
        <v>1</v>
      </c>
      <c r="B55" s="220" t="s">
        <v>180</v>
      </c>
      <c r="C55" s="216"/>
      <c r="D55" s="216"/>
      <c r="E55" s="194"/>
      <c r="F55" s="195"/>
      <c r="G55" s="195"/>
      <c r="H55" s="195"/>
      <c r="I55" s="218"/>
    </row>
    <row r="56" spans="1:9" x14ac:dyDescent="0.3">
      <c r="A56" s="215"/>
      <c r="B56" s="221"/>
      <c r="C56" s="216"/>
      <c r="D56" s="216"/>
      <c r="E56" s="194"/>
      <c r="F56" s="195"/>
      <c r="G56" s="195"/>
      <c r="H56" s="195"/>
      <c r="I56" s="218"/>
    </row>
    <row r="57" spans="1:9" ht="14.4" customHeight="1" x14ac:dyDescent="0.3">
      <c r="A57" s="214">
        <v>1</v>
      </c>
      <c r="B57" s="220" t="s">
        <v>180</v>
      </c>
      <c r="C57" s="216"/>
      <c r="D57" s="216"/>
      <c r="E57" s="194"/>
      <c r="F57" s="195"/>
      <c r="G57" s="195"/>
      <c r="H57" s="195"/>
      <c r="I57" s="218"/>
    </row>
    <row r="58" spans="1:9" x14ac:dyDescent="0.3">
      <c r="A58" s="215"/>
      <c r="B58" s="221"/>
      <c r="C58" s="216"/>
      <c r="D58" s="216"/>
      <c r="E58" s="197"/>
      <c r="F58" s="198"/>
      <c r="G58" s="198"/>
      <c r="H58" s="198"/>
      <c r="I58" s="219"/>
    </row>
    <row r="59" spans="1:9" x14ac:dyDescent="0.3">
      <c r="A59" s="211"/>
      <c r="B59" s="212"/>
      <c r="C59" s="212"/>
      <c r="D59" s="212"/>
      <c r="E59" s="212"/>
      <c r="F59" s="212"/>
      <c r="G59" s="212"/>
      <c r="H59" s="212"/>
      <c r="I59" s="213"/>
    </row>
  </sheetData>
  <mergeCells count="37">
    <mergeCell ref="A59:I59"/>
    <mergeCell ref="C54:D58"/>
    <mergeCell ref="E54:I58"/>
    <mergeCell ref="A55:A56"/>
    <mergeCell ref="B55:B56"/>
    <mergeCell ref="A57:A58"/>
    <mergeCell ref="B57:B58"/>
    <mergeCell ref="A53:A54"/>
    <mergeCell ref="B53:B54"/>
    <mergeCell ref="C49:D53"/>
    <mergeCell ref="E49:I53"/>
    <mergeCell ref="A51:A52"/>
    <mergeCell ref="B51:B52"/>
    <mergeCell ref="O23:O30"/>
    <mergeCell ref="K17:N17"/>
    <mergeCell ref="K18:N18"/>
    <mergeCell ref="J20:O20"/>
    <mergeCell ref="B21:C21"/>
    <mergeCell ref="D21:F21"/>
    <mergeCell ref="F22:G22"/>
    <mergeCell ref="H22:I22"/>
    <mergeCell ref="K22:N22"/>
    <mergeCell ref="J23:J27"/>
    <mergeCell ref="K23:N27"/>
    <mergeCell ref="A15:I17"/>
    <mergeCell ref="A22:A23"/>
    <mergeCell ref="B22:B23"/>
    <mergeCell ref="C22:C23"/>
    <mergeCell ref="D22:D23"/>
    <mergeCell ref="E22:E23"/>
    <mergeCell ref="B14:E14"/>
    <mergeCell ref="K14:N14"/>
    <mergeCell ref="D3:L3"/>
    <mergeCell ref="A11:D11"/>
    <mergeCell ref="B13:E13"/>
    <mergeCell ref="F13:I13"/>
    <mergeCell ref="K13:N13"/>
  </mergeCells>
  <dataValidations disablePrompts="1" count="1">
    <dataValidation type="list" allowBlank="1" showInputMessage="1" showErrorMessage="1" sqref="O7" xr:uid="{5430B173-75A5-4229-9E3B-69DA7107AF35}">
      <formula1>$Q$6:$Q$14</formula1>
    </dataValidation>
  </dataValidations>
  <pageMargins left="0.70866141732283505" right="0.70866141732283505" top="0.74803149606299202" bottom="0.74803149606299202" header="0.31496062992126" footer="0.31496062992126"/>
  <pageSetup paperSize="9" scale="25" orientation="portrait" r:id="rId1"/>
  <headerFooter>
    <oddFooter>&amp;L&amp;1#&amp;"Calibri"&amp;10&amp;K737373Hizmete Özel / Confidential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3</vt:i4>
      </vt:variant>
    </vt:vector>
  </HeadingPairs>
  <TitlesOfParts>
    <vt:vector size="6" baseType="lpstr">
      <vt:lpstr>rev00</vt:lpstr>
      <vt:lpstr>01.06.2026 </vt:lpstr>
      <vt:lpstr>02.06.2026 </vt:lpstr>
      <vt:lpstr>'01.06.2026 '!Yazdırma_Alanı</vt:lpstr>
      <vt:lpstr>'02.06.2026 '!Yazdırma_Alanı</vt:lpstr>
      <vt:lpstr>rev00!Yazdırma_Alanı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2015-06-05T18:17:20Z</dcterms:created>
  <dcterms:modified xsi:type="dcterms:W3CDTF">2026-06-05T10:33:47Z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c1ba3f-15a7-4d07-9409-0e5b83959dc8_Enabled">
    <vt:lpwstr>True</vt:lpwstr>
  </property>
  <property fmtid="{D5CDD505-2E9C-101B-9397-08002B2CF9AE}" pid="3" name="MSIP_Label_b5c1ba3f-15a7-4d07-9409-0e5b83959dc8_SiteId">
    <vt:lpwstr>c490a67c-dea0-4aaa-ae0f-f99bae3aceb9</vt:lpwstr>
  </property>
  <property fmtid="{D5CDD505-2E9C-101B-9397-08002B2CF9AE}" pid="4" name="MSIP_Label_b5c1ba3f-15a7-4d07-9409-0e5b83959dc8_Owner">
    <vt:lpwstr>05916@tupras.com.tr</vt:lpwstr>
  </property>
  <property fmtid="{D5CDD505-2E9C-101B-9397-08002B2CF9AE}" pid="5" name="MSIP_Label_b5c1ba3f-15a7-4d07-9409-0e5b83959dc8_SetDate">
    <vt:lpwstr>2021-09-01T12:38:17.0722798Z</vt:lpwstr>
  </property>
  <property fmtid="{D5CDD505-2E9C-101B-9397-08002B2CF9AE}" pid="6" name="MSIP_Label_b5c1ba3f-15a7-4d07-9409-0e5b83959dc8_Name">
    <vt:lpwstr>Hizmete Özel</vt:lpwstr>
  </property>
  <property fmtid="{D5CDD505-2E9C-101B-9397-08002B2CF9AE}" pid="7" name="MSIP_Label_b5c1ba3f-15a7-4d07-9409-0e5b83959dc8_Application">
    <vt:lpwstr>Microsoft Azure Information Protection</vt:lpwstr>
  </property>
  <property fmtid="{D5CDD505-2E9C-101B-9397-08002B2CF9AE}" pid="8" name="MSIP_Label_b5c1ba3f-15a7-4d07-9409-0e5b83959dc8_ActionId">
    <vt:lpwstr>175160ed-d005-41ef-9f7a-7190eb48da2b</vt:lpwstr>
  </property>
  <property fmtid="{D5CDD505-2E9C-101B-9397-08002B2CF9AE}" pid="9" name="MSIP_Label_b5c1ba3f-15a7-4d07-9409-0e5b83959dc8_Extended_MSFT_Method">
    <vt:lpwstr>Automatic</vt:lpwstr>
  </property>
  <property fmtid="{D5CDD505-2E9C-101B-9397-08002B2CF9AE}" pid="10" name="Sensitivity">
    <vt:lpwstr>Hizmete Özel</vt:lpwstr>
  </property>
</Properties>
</file>